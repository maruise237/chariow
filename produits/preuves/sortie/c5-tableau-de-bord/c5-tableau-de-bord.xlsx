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tes" sheetId="1" state="visible" r:id="rId3"/>
    <sheet name="Dépenses" sheetId="2" state="visible" r:id="rId4"/>
    <sheet name="Tableau de bord" sheetId="3" state="visible" r:id="rId5"/>
  </sheets>
  <calcPr iterateCount="100" refMode="A1" iterate="false" iterateDelta="0.001"/>
</workbook>
</file>

<file path=xl/sharedStrings.xml><?xml version="1.0" encoding="utf-8"?>
<sst xmlns="http://schemas.openxmlformats.org/spreadsheetml/2006/main" count="107" uniqueCount="28">
  <si>
    <t xml:space="preserve">Mois</t>
  </si>
  <si>
    <t xml:space="preserve">Article</t>
  </si>
  <si>
    <t xml:space="preserve">Montant</t>
  </si>
  <si>
    <t xml:space="preserve">Moyen</t>
  </si>
  <si>
    <t xml:space="preserve">Septembre</t>
  </si>
  <si>
    <t xml:space="preserve">Hijab coton</t>
  </si>
  <si>
    <t xml:space="preserve">Espèces</t>
  </si>
  <si>
    <t xml:space="preserve">Hijab soie</t>
  </si>
  <si>
    <t xml:space="preserve">Orange Money</t>
  </si>
  <si>
    <t xml:space="preserve">Voile jersey</t>
  </si>
  <si>
    <t xml:space="preserve">MTN MoMo</t>
  </si>
  <si>
    <t xml:space="preserve">Écharpe</t>
  </si>
  <si>
    <t xml:space="preserve">Bonnet</t>
  </si>
  <si>
    <t xml:space="preserve">Octobre</t>
  </si>
  <si>
    <t xml:space="preserve">Hijab luxe</t>
  </si>
  <si>
    <t xml:space="preserve">Libellé</t>
  </si>
  <si>
    <t xml:space="preserve">Tissu</t>
  </si>
  <si>
    <t xml:space="preserve">Loyer</t>
  </si>
  <si>
    <t xml:space="preserve">Transport</t>
  </si>
  <si>
    <t xml:space="preserve">Publicité Facebook</t>
  </si>
  <si>
    <t xml:space="preserve">Emballages</t>
  </si>
  <si>
    <t xml:space="preserve">Crédit téléphone</t>
  </si>
  <si>
    <t xml:space="preserve">Indicateur</t>
  </si>
  <si>
    <t xml:space="preserve">Évolution</t>
  </si>
  <si>
    <t xml:space="preserve">Objectif</t>
  </si>
  <si>
    <t xml:space="preserve">Ventes</t>
  </si>
  <si>
    <t xml:space="preserve">Dépenses</t>
  </si>
  <si>
    <t xml:space="preserve">Bénéfice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</si>
</sst>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C]#,##0"/>
    <numFmt numFmtId="166" formatCode="[$-40C]0.0%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9B1C1C"/>
      <name val="Arial"/>
      <family val="2"/>
    </font>
    <font>
      <b val="true"/>
      <sz val="10"/>
      <color rgb="FF1B6B34"/>
      <name val="Arial"/>
      <family val="2"/>
    </font>
    <font>
      <b val="true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8C9C9"/>
        <bgColor rgb="FFCCCCFF"/>
      </patternFill>
    </fill>
    <fill>
      <patternFill patternType="solid">
        <fgColor rgb="FFCDEBD3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false" applyProtection="false"/>
    <xf numFmtId="164" fontId="5" fillId="3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KT_Rouge" xfId="20"/>
    <cellStyle name="KT_Vert" xfId="21"/>
  </cellStyles>
  <dxfs count="2">
    <dxf>
      <font>
        <b val="1"/>
        <color rgb="FF9B1C1C"/>
      </font>
      <fill>
        <patternFill>
          <bgColor rgb="FFF8C9C9"/>
        </patternFill>
      </fill>
    </dxf>
    <dxf>
      <font>
        <b val="1"/>
        <color rgb="FF1B6B34"/>
      </font>
      <fill>
        <patternFill>
          <bgColor rgb="FFCDEBD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6B34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DEBD3"/>
      <rgbColor rgb="FFFFFF99"/>
      <rgbColor rgb="FF99CCFF"/>
      <rgbColor rgb="FFFF99CC"/>
      <rgbColor rgb="FFCC99FF"/>
      <rgbColor rgb="FFF8C9C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B1C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n">
        <v>8000</v>
      </c>
      <c r="D2" s="0" t="s">
        <v>6</v>
      </c>
    </row>
    <row r="3" customFormat="false" ht="12.8" hidden="false" customHeight="false" outlineLevel="0" collapsed="false">
      <c r="A3" s="0" t="s">
        <v>4</v>
      </c>
      <c r="B3" s="0" t="s">
        <v>7</v>
      </c>
      <c r="C3" s="0" t="n">
        <v>12000</v>
      </c>
      <c r="D3" s="0" t="s">
        <v>8</v>
      </c>
    </row>
    <row r="4" customFormat="false" ht="12.8" hidden="false" customHeight="false" outlineLevel="0" collapsed="false">
      <c r="A4" s="0" t="s">
        <v>4</v>
      </c>
      <c r="B4" s="0" t="s">
        <v>9</v>
      </c>
      <c r="C4" s="0" t="n">
        <v>5000</v>
      </c>
      <c r="D4" s="0" t="s">
        <v>10</v>
      </c>
    </row>
    <row r="5" customFormat="false" ht="12.8" hidden="false" customHeight="false" outlineLevel="0" collapsed="false">
      <c r="A5" s="0" t="s">
        <v>4</v>
      </c>
      <c r="B5" s="0" t="s">
        <v>5</v>
      </c>
      <c r="C5" s="0" t="n">
        <v>8000</v>
      </c>
      <c r="D5" s="0" t="s">
        <v>6</v>
      </c>
    </row>
    <row r="6" customFormat="false" ht="12.8" hidden="false" customHeight="false" outlineLevel="0" collapsed="false">
      <c r="A6" s="0" t="s">
        <v>4</v>
      </c>
      <c r="B6" s="0" t="s">
        <v>11</v>
      </c>
      <c r="C6" s="0" t="n">
        <v>10000</v>
      </c>
      <c r="D6" s="0" t="s">
        <v>6</v>
      </c>
    </row>
    <row r="7" customFormat="false" ht="12.8" hidden="false" customHeight="false" outlineLevel="0" collapsed="false">
      <c r="A7" s="0" t="s">
        <v>4</v>
      </c>
      <c r="B7" s="0" t="s">
        <v>7</v>
      </c>
      <c r="C7" s="0" t="n">
        <v>12000</v>
      </c>
      <c r="D7" s="0" t="s">
        <v>8</v>
      </c>
    </row>
    <row r="8" customFormat="false" ht="12.8" hidden="false" customHeight="false" outlineLevel="0" collapsed="false">
      <c r="A8" s="0" t="s">
        <v>4</v>
      </c>
      <c r="B8" s="0" t="s">
        <v>9</v>
      </c>
      <c r="C8" s="0" t="n">
        <v>5000</v>
      </c>
      <c r="D8" s="0" t="s">
        <v>6</v>
      </c>
    </row>
    <row r="9" customFormat="false" ht="12.8" hidden="false" customHeight="false" outlineLevel="0" collapsed="false">
      <c r="A9" s="0" t="s">
        <v>4</v>
      </c>
      <c r="B9" s="0" t="s">
        <v>5</v>
      </c>
      <c r="C9" s="0" t="n">
        <v>8000</v>
      </c>
      <c r="D9" s="0" t="s">
        <v>10</v>
      </c>
    </row>
    <row r="10" customFormat="false" ht="12.8" hidden="false" customHeight="false" outlineLevel="0" collapsed="false">
      <c r="A10" s="0" t="s">
        <v>4</v>
      </c>
      <c r="B10" s="0" t="s">
        <v>12</v>
      </c>
      <c r="C10" s="0" t="n">
        <v>5000</v>
      </c>
      <c r="D10" s="0" t="s">
        <v>6</v>
      </c>
    </row>
    <row r="11" customFormat="false" ht="12.8" hidden="false" customHeight="false" outlineLevel="0" collapsed="false">
      <c r="A11" s="0" t="s">
        <v>4</v>
      </c>
      <c r="B11" s="0" t="s">
        <v>7</v>
      </c>
      <c r="C11" s="0" t="n">
        <v>12000</v>
      </c>
      <c r="D11" s="0" t="s">
        <v>10</v>
      </c>
    </row>
    <row r="12" customFormat="false" ht="12.8" hidden="false" customHeight="false" outlineLevel="0" collapsed="false">
      <c r="A12" s="0" t="s">
        <v>13</v>
      </c>
      <c r="B12" s="0" t="s">
        <v>7</v>
      </c>
      <c r="C12" s="0" t="n">
        <v>12000</v>
      </c>
      <c r="D12" s="0" t="s">
        <v>8</v>
      </c>
    </row>
    <row r="13" customFormat="false" ht="12.8" hidden="false" customHeight="false" outlineLevel="0" collapsed="false">
      <c r="A13" s="0" t="s">
        <v>13</v>
      </c>
      <c r="B13" s="0" t="s">
        <v>5</v>
      </c>
      <c r="C13" s="0" t="n">
        <v>8000</v>
      </c>
      <c r="D13" s="0" t="s">
        <v>6</v>
      </c>
    </row>
    <row r="14" customFormat="false" ht="12.8" hidden="false" customHeight="false" outlineLevel="0" collapsed="false">
      <c r="A14" s="0" t="s">
        <v>13</v>
      </c>
      <c r="B14" s="0" t="s">
        <v>9</v>
      </c>
      <c r="C14" s="0" t="n">
        <v>5000</v>
      </c>
      <c r="D14" s="0" t="s">
        <v>10</v>
      </c>
    </row>
    <row r="15" customFormat="false" ht="12.8" hidden="false" customHeight="false" outlineLevel="0" collapsed="false">
      <c r="A15" s="0" t="s">
        <v>13</v>
      </c>
      <c r="B15" s="0" t="s">
        <v>7</v>
      </c>
      <c r="C15" s="0" t="n">
        <v>12000</v>
      </c>
      <c r="D15" s="0" t="s">
        <v>8</v>
      </c>
    </row>
    <row r="16" customFormat="false" ht="12.8" hidden="false" customHeight="false" outlineLevel="0" collapsed="false">
      <c r="A16" s="0" t="s">
        <v>13</v>
      </c>
      <c r="B16" s="0" t="s">
        <v>5</v>
      </c>
      <c r="C16" s="0" t="n">
        <v>8000</v>
      </c>
      <c r="D16" s="0" t="s">
        <v>6</v>
      </c>
    </row>
    <row r="17" customFormat="false" ht="12.8" hidden="false" customHeight="false" outlineLevel="0" collapsed="false">
      <c r="A17" s="0" t="s">
        <v>13</v>
      </c>
      <c r="B17" s="0" t="s">
        <v>11</v>
      </c>
      <c r="C17" s="0" t="n">
        <v>10000</v>
      </c>
      <c r="D17" s="0" t="s">
        <v>10</v>
      </c>
    </row>
    <row r="18" customFormat="false" ht="12.8" hidden="false" customHeight="false" outlineLevel="0" collapsed="false">
      <c r="A18" s="0" t="s">
        <v>13</v>
      </c>
      <c r="B18" s="0" t="s">
        <v>7</v>
      </c>
      <c r="C18" s="0" t="n">
        <v>12000</v>
      </c>
      <c r="D18" s="0" t="s">
        <v>6</v>
      </c>
    </row>
    <row r="19" customFormat="false" ht="12.8" hidden="false" customHeight="false" outlineLevel="0" collapsed="false">
      <c r="A19" s="0" t="s">
        <v>13</v>
      </c>
      <c r="B19" s="0" t="s">
        <v>5</v>
      </c>
      <c r="C19" s="0" t="n">
        <v>8000</v>
      </c>
      <c r="D19" s="0" t="s">
        <v>8</v>
      </c>
    </row>
    <row r="20" customFormat="false" ht="12.8" hidden="false" customHeight="false" outlineLevel="0" collapsed="false">
      <c r="A20" s="0" t="s">
        <v>13</v>
      </c>
      <c r="B20" s="0" t="s">
        <v>9</v>
      </c>
      <c r="C20" s="0" t="n">
        <v>5000</v>
      </c>
      <c r="D20" s="0" t="s">
        <v>6</v>
      </c>
    </row>
    <row r="21" customFormat="false" ht="12.8" hidden="false" customHeight="false" outlineLevel="0" collapsed="false">
      <c r="A21" s="0" t="s">
        <v>13</v>
      </c>
      <c r="B21" s="0" t="s">
        <v>14</v>
      </c>
      <c r="C21" s="0" t="n">
        <v>25000</v>
      </c>
      <c r="D21" s="0" t="s">
        <v>10</v>
      </c>
    </row>
    <row r="22" customFormat="false" ht="12.8" hidden="false" customHeight="false" outlineLevel="0" collapsed="false">
      <c r="A22" s="0" t="s">
        <v>13</v>
      </c>
      <c r="B22" s="0" t="s">
        <v>7</v>
      </c>
      <c r="C22" s="0" t="n">
        <v>12000</v>
      </c>
      <c r="D22" s="0" t="s">
        <v>8</v>
      </c>
    </row>
    <row r="23" customFormat="false" ht="12.8" hidden="false" customHeight="false" outlineLevel="0" collapsed="false">
      <c r="A23" s="0" t="s">
        <v>13</v>
      </c>
      <c r="B23" s="0" t="s">
        <v>5</v>
      </c>
      <c r="C23" s="0" t="n">
        <v>8000</v>
      </c>
      <c r="D23" s="0" t="s">
        <v>6</v>
      </c>
    </row>
    <row r="24" customFormat="false" ht="12.8" hidden="false" customHeight="false" outlineLevel="0" collapsed="false">
      <c r="A24" s="0" t="s">
        <v>13</v>
      </c>
      <c r="B24" s="0" t="s">
        <v>12</v>
      </c>
      <c r="C24" s="0" t="n">
        <v>5000</v>
      </c>
      <c r="D24" s="0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15</v>
      </c>
      <c r="C1" s="0" t="s">
        <v>2</v>
      </c>
    </row>
    <row r="2" customFormat="false" ht="12.8" hidden="false" customHeight="false" outlineLevel="0" collapsed="false">
      <c r="A2" s="0" t="s">
        <v>4</v>
      </c>
      <c r="B2" s="0" t="s">
        <v>16</v>
      </c>
      <c r="C2" s="0" t="n">
        <v>55000</v>
      </c>
    </row>
    <row r="3" customFormat="false" ht="12.8" hidden="false" customHeight="false" outlineLevel="0" collapsed="false">
      <c r="A3" s="0" t="s">
        <v>4</v>
      </c>
      <c r="B3" s="0" t="s">
        <v>17</v>
      </c>
      <c r="C3" s="0" t="n">
        <v>20000</v>
      </c>
    </row>
    <row r="4" customFormat="false" ht="12.8" hidden="false" customHeight="false" outlineLevel="0" collapsed="false">
      <c r="A4" s="0" t="s">
        <v>4</v>
      </c>
      <c r="B4" s="0" t="s">
        <v>18</v>
      </c>
      <c r="C4" s="0" t="n">
        <v>8000</v>
      </c>
    </row>
    <row r="5" customFormat="false" ht="12.8" hidden="false" customHeight="false" outlineLevel="0" collapsed="false">
      <c r="A5" s="0" t="s">
        <v>4</v>
      </c>
      <c r="B5" s="0" t="s">
        <v>19</v>
      </c>
      <c r="C5" s="0" t="n">
        <v>7000</v>
      </c>
    </row>
    <row r="6" customFormat="false" ht="12.8" hidden="false" customHeight="false" outlineLevel="0" collapsed="false">
      <c r="A6" s="0" t="s">
        <v>4</v>
      </c>
      <c r="B6" s="0" t="s">
        <v>20</v>
      </c>
      <c r="C6" s="0" t="n">
        <v>5000</v>
      </c>
    </row>
    <row r="7" customFormat="false" ht="12.8" hidden="false" customHeight="false" outlineLevel="0" collapsed="false">
      <c r="A7" s="0" t="s">
        <v>13</v>
      </c>
      <c r="B7" s="0" t="s">
        <v>16</v>
      </c>
      <c r="C7" s="0" t="n">
        <v>60000</v>
      </c>
    </row>
    <row r="8" customFormat="false" ht="12.8" hidden="false" customHeight="false" outlineLevel="0" collapsed="false">
      <c r="A8" s="0" t="s">
        <v>13</v>
      </c>
      <c r="B8" s="0" t="s">
        <v>17</v>
      </c>
      <c r="C8" s="0" t="n">
        <v>20000</v>
      </c>
    </row>
    <row r="9" customFormat="false" ht="12.8" hidden="false" customHeight="false" outlineLevel="0" collapsed="false">
      <c r="A9" s="0" t="s">
        <v>13</v>
      </c>
      <c r="B9" s="0" t="s">
        <v>18</v>
      </c>
      <c r="C9" s="0" t="n">
        <v>6000</v>
      </c>
    </row>
    <row r="10" customFormat="false" ht="12.8" hidden="false" customHeight="false" outlineLevel="0" collapsed="false">
      <c r="A10" s="0" t="s">
        <v>13</v>
      </c>
      <c r="B10" s="0" t="s">
        <v>21</v>
      </c>
      <c r="C10" s="0" t="n">
        <v>4000</v>
      </c>
    </row>
    <row r="11" customFormat="false" ht="12.8" hidden="false" customHeight="false" outlineLevel="0" collapsed="false">
      <c r="A11" s="0" t="s">
        <v>13</v>
      </c>
      <c r="B11" s="0" t="s">
        <v>20</v>
      </c>
      <c r="C11" s="0" t="n">
        <v>6000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22</v>
      </c>
      <c r="B1" s="1" t="s">
        <v>13</v>
      </c>
      <c r="C1" s="1" t="s">
        <v>4</v>
      </c>
      <c r="D1" s="1" t="s">
        <v>23</v>
      </c>
      <c r="E1" s="1" t="s">
        <v>24</v>
      </c>
    </row>
    <row r="2" customFormat="false" ht="12.8" hidden="false" customHeight="false" outlineLevel="0" collapsed="false">
      <c r="A2" s="0" t="s">
        <v>25</v>
      </c>
      <c r="B2" s="2" t="n">
        <f aca="false">SUMIF(Ventes!$A$2:$A$40,B$1,Ventes!$C$2:$C$40)</f>
        <v>130000</v>
      </c>
      <c r="C2" s="2" t="n">
        <f aca="false">SUMIF(Ventes!$A$2:$A$40,C$1,Ventes!$C$2:$C$40)</f>
        <v>85000</v>
      </c>
      <c r="D2" s="3" t="n">
        <f aca="false">IFERROR((B2-C2)/C2,"")</f>
        <v>0.529411764705882</v>
      </c>
      <c r="E2" s="2" t="n">
        <v>120000</v>
      </c>
    </row>
    <row r="3" customFormat="false" ht="12.8" hidden="false" customHeight="false" outlineLevel="0" collapsed="false">
      <c r="A3" s="0" t="s">
        <v>26</v>
      </c>
      <c r="B3" s="2" t="n">
        <f aca="false">SUMIF(Dépenses!$A$2:$A$40,B$1,Dépenses!$C$2:$C$40)</f>
        <v>96000</v>
      </c>
      <c r="C3" s="2" t="n">
        <f aca="false">SUMIF(Dépenses!$A$2:$A$40,C$1,Dépenses!$C$2:$C$40)</f>
        <v>95000</v>
      </c>
      <c r="D3" s="3" t="n">
        <f aca="false">IFERROR((B3-C3)/C3,"")</f>
        <v>0.0105263157894737</v>
      </c>
    </row>
    <row r="4" customFormat="false" ht="12.8" hidden="false" customHeight="false" outlineLevel="0" collapsed="false">
      <c r="A4" s="0" t="s">
        <v>27</v>
      </c>
      <c r="B4" s="2" t="n">
        <f aca="false">B2-B3</f>
        <v>34000</v>
      </c>
      <c r="C4" s="2" t="n">
        <f aca="false">C2-C3</f>
        <v>-10000</v>
      </c>
      <c r="D4" s="3" t="n">
        <f aca="false">IFERROR((B4-C4)/ABS(C4),"")</f>
        <v>4.4</v>
      </c>
    </row>
    <row r="5" customFormat="false" ht="12.8" hidden="false" customHeight="false" outlineLevel="0" collapsed="false">
      <c r="A5" s="0" t="s">
        <v>6</v>
      </c>
      <c r="B5" s="3" t="n">
        <f aca="false">IF(B$2=0,0,SUMIFS(Ventes!$C$2:$C$40,Ventes!$A$2:$A$40,B$1,Ventes!$D$2:$D$40,"Espèces")/B$2)</f>
        <v>0.353846153846154</v>
      </c>
      <c r="C5" s="3" t="n">
        <f aca="false">IF(C$2=0,0,SUMIFS(Ventes!$C$2:$C$40,Ventes!$A$2:$A$40,C$1,Ventes!$D$2:$D$40,"Espèces")/C$2)</f>
        <v>0.423529411764706</v>
      </c>
    </row>
    <row r="6" customFormat="false" ht="12.8" hidden="false" customHeight="false" outlineLevel="0" collapsed="false">
      <c r="A6" s="0" t="s">
        <v>8</v>
      </c>
      <c r="B6" s="3" t="n">
        <f aca="false">IF(B$2=0,0,SUMIFS(Ventes!$C$2:$C$40,Ventes!$A$2:$A$40,B$1,Ventes!$D$2:$D$40,"Orange Money")/B$2)</f>
        <v>0.338461538461539</v>
      </c>
      <c r="C6" s="3" t="n">
        <f aca="false">IF(C$2=0,0,SUMIFS(Ventes!$C$2:$C$40,Ventes!$A$2:$A$40,C$1,Ventes!$D$2:$D$40,"Orange Money")/C$2)</f>
        <v>0.282352941176471</v>
      </c>
    </row>
    <row r="7" customFormat="false" ht="12.8" hidden="false" customHeight="false" outlineLevel="0" collapsed="false">
      <c r="A7" s="0" t="s">
        <v>10</v>
      </c>
      <c r="B7" s="3" t="n">
        <f aca="false">IF(B$2=0,0,SUMIFS(Ventes!$C$2:$C$40,Ventes!$A$2:$A$40,B$1,Ventes!$D$2:$D$40,"MTN MoMo")/B$2)</f>
        <v>0.307692307692308</v>
      </c>
      <c r="C7" s="3" t="n">
        <f aca="false">IF(C$2=0,0,SUMIFS(Ventes!$C$2:$C$40,Ventes!$A$2:$A$40,C$1,Ventes!$D$2:$D$40,"MTN MoMo")/C$2)</f>
        <v>0.294117647058824</v>
      </c>
    </row>
  </sheetData>
  <conditionalFormatting sqref="B4:C4">
    <cfRule type="cellIs" priority="2" operator="lessThan" aboveAverage="0" equalAverage="0" bottom="0" percent="0" rank="0" text="" dxfId="0">
      <formula>0</formula>
    </cfRule>
  </conditionalFormatting>
  <conditionalFormatting sqref="B2:C2">
    <cfRule type="cellIs" priority="3" operator="greaterThanOrEqual" aboveAverage="0" equalAverage="0" bottom="0" percent="0" rank="0" text="" dxfId="1">
      <formula>$E$2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2026-10-10T12:12:05Z</dcterms:created>
  <dc:creator/>
  <dc:description/>
  <dc:language>fr-FR</dc:language>
  <cp:lastModifiedBy/>
  <dcterms:modified xsi:type="dcterms:W3CDTF">2026-10-10T12:12:05Z</dcterms:modified>
  <cp:revision>1</cp:revision>
  <dc:subject/>
  <dc:title/>
</cp:coreProperties>
</file>
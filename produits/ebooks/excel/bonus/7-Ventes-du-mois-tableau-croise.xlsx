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Ventes" sheetId="1" state="visible" r:id="rId3"/>
    <sheet name="Produits" sheetId="2" state="visible" r:id="rId4"/>
    <sheet name="Vendeurs" sheetId="3" state="visible" r:id="rId5"/>
    <sheet name="Paiements" sheetId="4" state="visible" r:id="rId6"/>
    <sheet name="Croisé" sheetId="5" state="visible" r:id="rId7"/>
    <sheet name="Jours" sheetId="6" state="visible" r:id="rId8"/>
  </sheets>
  <calcPr iterateCount="100" refMode="A1" iterate="false" iterateDelta="0.001"/>
  <pivotCaches>
    <pivotCache cacheId="1" r:id="rId10"/>
  </pivotCaches>
</workbook>
</file>

<file path=xl/sharedStrings.xml><?xml version="1.0" encoding="utf-8"?>
<sst xmlns="http://schemas.openxmlformats.org/spreadsheetml/2006/main" count="180" uniqueCount="27">
  <si>
    <t xml:space="preserve">Date</t>
  </si>
  <si>
    <t xml:space="preserve">Produit</t>
  </si>
  <si>
    <t xml:space="preserve">Vendeur</t>
  </si>
  <si>
    <t xml:space="preserve">Quantité</t>
  </si>
  <si>
    <t xml:space="preserve">Montant en F</t>
  </si>
  <si>
    <t xml:space="preserve">Moyen de paiement</t>
  </si>
  <si>
    <t xml:space="preserve">Huile 1 L</t>
  </si>
  <si>
    <t xml:space="preserve">Carine</t>
  </si>
  <si>
    <t xml:space="preserve">Espèces</t>
  </si>
  <si>
    <t xml:space="preserve">Sucre 1 kg</t>
  </si>
  <si>
    <t xml:space="preserve">Awa</t>
  </si>
  <si>
    <t xml:space="preserve">MTN MoMo</t>
  </si>
  <si>
    <t xml:space="preserve">Orange Money</t>
  </si>
  <si>
    <t xml:space="preserve">Savon</t>
  </si>
  <si>
    <t xml:space="preserve">Boris</t>
  </si>
  <si>
    <t xml:space="preserve">Riz 5 kg</t>
  </si>
  <si>
    <t xml:space="preserve">Lait en poudre</t>
  </si>
  <si>
    <t xml:space="preserve">Filtre</t>
  </si>
  <si>
    <t xml:space="preserve">Somme - Montant en F</t>
  </si>
  <si>
    <t xml:space="preserve">Contrôle SOMME.SI</t>
  </si>
  <si>
    <t xml:space="preserve">Somme - Quantité</t>
  </si>
  <si>
    <t xml:space="preserve">Total Résultat</t>
  </si>
  <si>
    <t xml:space="preserve">Articles SOMME.SI</t>
  </si>
  <si>
    <t xml:space="preserve">Compter - Date</t>
  </si>
  <si>
    <t xml:space="preserve">Contrôle NB.SI</t>
  </si>
  <si>
    <t xml:space="preserve">Contrôle SOMME.SI.ENS</t>
  </si>
  <si>
    <t xml:space="preserve">Contrôle Sucre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</si>
</sst>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C]dd/mm/yyyy"/>
    <numFmt numFmtId="166" formatCode="[$-40C]#,##0"/>
    <numFmt numFmtId="167" formatCode="[$-40C]dd/mm"/>
    <numFmt numFmtId="168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Ventes par produit, octobre 2026 (F)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Produits!$B$3</c:f>
              <c:strCache>
                <c:ptCount val="1"/>
                <c:pt idx="0">
                  <c:v>Somme - Montant en F</c:v>
                </c:pt>
              </c:strCache>
            </c:strRef>
          </c:tx>
          <c:spPr>
            <a:solidFill>
              <a:srgbClr val="1f5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Produits!$A$4:$A$8</c:f>
              <c:strCache>
                <c:ptCount val="5"/>
                <c:pt idx="0">
                  <c:v>Huile 1 L</c:v>
                </c:pt>
                <c:pt idx="1">
                  <c:v>Lait en poudre</c:v>
                </c:pt>
                <c:pt idx="2">
                  <c:v>Riz 5 kg</c:v>
                </c:pt>
                <c:pt idx="3">
                  <c:v>Savon</c:v>
                </c:pt>
                <c:pt idx="4">
                  <c:v>Sucre 1 kg</c:v>
                </c:pt>
              </c:strCache>
            </c:strRef>
          </c:cat>
          <c:val>
            <c:numRef>
              <c:f>Produits!$B$4:$B$8</c:f>
              <c:numCache>
                <c:formatCode>[$-40C]#,##0</c:formatCode>
                <c:ptCount val="5"/>
                <c:pt idx="0">
                  <c:v>22500</c:v>
                </c:pt>
                <c:pt idx="1">
                  <c:v>15000</c:v>
                </c:pt>
                <c:pt idx="2">
                  <c:v>12000</c:v>
                </c:pt>
                <c:pt idx="3">
                  <c:v>15500</c:v>
                </c:pt>
                <c:pt idx="4">
                  <c:v>26400</c:v>
                </c:pt>
              </c:numCache>
            </c:numRef>
          </c:val>
        </c:ser>
        <c:gapWidth val="100"/>
        <c:overlap val="0"/>
        <c:axId val="22568515"/>
        <c:axId val="56680615"/>
      </c:barChart>
      <c:catAx>
        <c:axId val="225685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680615"/>
        <c:crosses val="autoZero"/>
        <c:auto val="1"/>
        <c:lblAlgn val="ctr"/>
        <c:lblOffset val="100"/>
        <c:noMultiLvlLbl val="0"/>
      </c:catAx>
      <c:valAx>
        <c:axId val="56680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C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56851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Ventes par jour, octobre 2026 (F)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Jours!$B$3</c:f>
              <c:strCache>
                <c:ptCount val="1"/>
                <c:pt idx="0">
                  <c:v>Somme - Montant en F</c:v>
                </c:pt>
              </c:strCache>
            </c:strRef>
          </c:tx>
          <c:spPr>
            <a:solidFill>
              <a:srgbClr val="1f5fa8"/>
            </a:solidFill>
            <a:ln w="2880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Jours!$A$4:$A$33</c:f>
              <c:strCache>
                <c:ptCount val="30"/>
                <c:pt idx="0">
                  <c:v>01/10</c:v>
                </c:pt>
                <c:pt idx="1">
                  <c:v>02/10</c:v>
                </c:pt>
                <c:pt idx="2">
                  <c:v>03/10</c:v>
                </c:pt>
                <c:pt idx="3">
                  <c:v>04/10</c:v>
                </c:pt>
                <c:pt idx="4">
                  <c:v>05/10</c:v>
                </c:pt>
                <c:pt idx="5">
                  <c:v>06/10</c:v>
                </c:pt>
                <c:pt idx="6">
                  <c:v>07/10</c:v>
                </c:pt>
                <c:pt idx="7">
                  <c:v>08/10</c:v>
                </c:pt>
                <c:pt idx="8">
                  <c:v>09/10</c:v>
                </c:pt>
                <c:pt idx="9">
                  <c:v>10/10</c:v>
                </c:pt>
                <c:pt idx="10">
                  <c:v>11/10</c:v>
                </c:pt>
                <c:pt idx="11">
                  <c:v>12/10</c:v>
                </c:pt>
                <c:pt idx="12">
                  <c:v>13/10</c:v>
                </c:pt>
                <c:pt idx="13">
                  <c:v>14/10</c:v>
                </c:pt>
                <c:pt idx="14">
                  <c:v>15/10</c:v>
                </c:pt>
                <c:pt idx="15">
                  <c:v>16/10</c:v>
                </c:pt>
                <c:pt idx="16">
                  <c:v>17/10</c:v>
                </c:pt>
                <c:pt idx="17">
                  <c:v>18/10</c:v>
                </c:pt>
                <c:pt idx="18">
                  <c:v>19/10</c:v>
                </c:pt>
                <c:pt idx="19">
                  <c:v>20/10</c:v>
                </c:pt>
                <c:pt idx="20">
                  <c:v>21/10</c:v>
                </c:pt>
                <c:pt idx="21">
                  <c:v>22/10</c:v>
                </c:pt>
                <c:pt idx="22">
                  <c:v>23/10</c:v>
                </c:pt>
                <c:pt idx="23">
                  <c:v>24/10</c:v>
                </c:pt>
                <c:pt idx="24">
                  <c:v>25/10</c:v>
                </c:pt>
                <c:pt idx="25">
                  <c:v>26/10</c:v>
                </c:pt>
                <c:pt idx="26">
                  <c:v>27/10</c:v>
                </c:pt>
                <c:pt idx="27">
                  <c:v>28/10</c:v>
                </c:pt>
                <c:pt idx="28">
                  <c:v>29/10</c:v>
                </c:pt>
                <c:pt idx="29">
                  <c:v>30/10</c:v>
                </c:pt>
              </c:strCache>
            </c:strRef>
          </c:cat>
          <c:val>
            <c:numRef>
              <c:f>Jours!$B$4:$B$33</c:f>
              <c:numCache>
                <c:formatCode>[$-40C]#,##0</c:formatCode>
                <c:ptCount val="30"/>
                <c:pt idx="0">
                  <c:v>1500</c:v>
                </c:pt>
                <c:pt idx="1">
                  <c:v>800</c:v>
                </c:pt>
                <c:pt idx="2">
                  <c:v>1600</c:v>
                </c:pt>
                <c:pt idx="3">
                  <c:v>7000</c:v>
                </c:pt>
                <c:pt idx="4">
                  <c:v>1000</c:v>
                </c:pt>
                <c:pt idx="5">
                  <c:v>1500</c:v>
                </c:pt>
                <c:pt idx="6">
                  <c:v>1600</c:v>
                </c:pt>
                <c:pt idx="7">
                  <c:v>1600</c:v>
                </c:pt>
                <c:pt idx="8">
                  <c:v>1000</c:v>
                </c:pt>
                <c:pt idx="9">
                  <c:v>4000</c:v>
                </c:pt>
                <c:pt idx="10">
                  <c:v>1500</c:v>
                </c:pt>
                <c:pt idx="11">
                  <c:v>8000</c:v>
                </c:pt>
                <c:pt idx="12">
                  <c:v>3000</c:v>
                </c:pt>
                <c:pt idx="13">
                  <c:v>4500</c:v>
                </c:pt>
                <c:pt idx="14">
                  <c:v>2000</c:v>
                </c:pt>
                <c:pt idx="15">
                  <c:v>8800</c:v>
                </c:pt>
                <c:pt idx="16">
                  <c:v>1500</c:v>
                </c:pt>
                <c:pt idx="17">
                  <c:v>500</c:v>
                </c:pt>
                <c:pt idx="18">
                  <c:v>1600</c:v>
                </c:pt>
                <c:pt idx="19">
                  <c:v>1500</c:v>
                </c:pt>
                <c:pt idx="20">
                  <c:v>7400</c:v>
                </c:pt>
                <c:pt idx="21">
                  <c:v>4000</c:v>
                </c:pt>
                <c:pt idx="22">
                  <c:v>1500</c:v>
                </c:pt>
                <c:pt idx="23">
                  <c:v>1000</c:v>
                </c:pt>
                <c:pt idx="24">
                  <c:v>2500</c:v>
                </c:pt>
                <c:pt idx="25">
                  <c:v>5000</c:v>
                </c:pt>
                <c:pt idx="26">
                  <c:v>9000</c:v>
                </c:pt>
                <c:pt idx="27">
                  <c:v>500</c:v>
                </c:pt>
                <c:pt idx="28">
                  <c:v>1500</c:v>
                </c:pt>
                <c:pt idx="29">
                  <c:v>4500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552074"/>
        <c:axId val="971146"/>
      </c:lineChart>
      <c:catAx>
        <c:axId val="75552074"/>
        <c:scaling>
          <c:orientation val="minMax"/>
        </c:scaling>
        <c:delete val="0"/>
        <c:axPos val="b"/>
        <c:numFmt formatCode="[$-40C]dd/mm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1146"/>
        <c:crosses val="autoZero"/>
        <c:auto val="1"/>
        <c:lblAlgn val="ctr"/>
        <c:lblOffset val="100"/>
        <c:noMultiLvlLbl val="0"/>
      </c:catAx>
      <c:valAx>
        <c:axId val="971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C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552074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91080</xdr:colOff>
      <xdr:row>1</xdr:row>
      <xdr:rowOff>53280</xdr:rowOff>
    </xdr:from>
    <xdr:to>
      <xdr:col>9</xdr:col>
      <xdr:colOff>504720</xdr:colOff>
      <xdr:row>22</xdr:row>
      <xdr:rowOff>59400</xdr:rowOff>
    </xdr:to>
    <xdr:graphicFrame>
      <xdr:nvGraphicFramePr>
        <xdr:cNvPr id="0" name=""/>
        <xdr:cNvGraphicFramePr/>
      </xdr:nvGraphicFramePr>
      <xdr:xfrm>
        <a:off x="2520000" y="21600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81720</xdr:colOff>
      <xdr:row>1</xdr:row>
      <xdr:rowOff>53280</xdr:rowOff>
    </xdr:from>
    <xdr:to>
      <xdr:col>11</xdr:col>
      <xdr:colOff>58680</xdr:colOff>
      <xdr:row>22</xdr:row>
      <xdr:rowOff>59400</xdr:rowOff>
    </xdr:to>
    <xdr:graphicFrame>
      <xdr:nvGraphicFramePr>
        <xdr:cNvPr id="1" name=""/>
        <xdr:cNvGraphicFramePr/>
      </xdr:nvGraphicFramePr>
      <xdr:xfrm>
        <a:off x="2520000" y="21600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F37" sheet="Ventes"/>
  </cacheSource>
  <cacheFields count="6">
    <cacheField name="Date" numFmtId="0">
      <sharedItems containsSemiMixedTypes="0" containsNonDate="0" containsDate="1" containsString="0" minDate="2026-10-01T00:00:00" maxDate="2026-10-30T00:00:00" count="30"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</sharedItems>
    </cacheField>
    <cacheField name="Produit" numFmtId="0">
      <sharedItems count="5">
        <s v="Huile 1 L"/>
        <s v="Lait en poudre"/>
        <s v="Riz 5 kg"/>
        <s v="Savon"/>
        <s v="Sucre 1 kg"/>
      </sharedItems>
    </cacheField>
    <cacheField name="Vendeur" numFmtId="0">
      <sharedItems count="3">
        <s v="Awa"/>
        <s v="Boris"/>
        <s v="Carine"/>
      </sharedItems>
    </cacheField>
    <cacheField name="Quantité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Montant en F" numFmtId="0">
      <sharedItems containsSemiMixedTypes="0" containsString="0" containsNumber="1" containsInteger="1" minValue="500" maxValue="8000" count="14">
        <n v="500"/>
        <n v="800"/>
        <n v="1000"/>
        <n v="1500"/>
        <n v="1600"/>
        <n v="2000"/>
        <n v="2400"/>
        <n v="2500"/>
        <n v="3000"/>
        <n v="4000"/>
        <n v="4500"/>
        <n v="4800"/>
        <n v="5000"/>
        <n v="8000"/>
      </sharedItems>
    </cacheField>
    <cacheField name="Moyen de paiement" numFmtId="0">
      <sharedItems count="3">
        <s v="Espèces"/>
        <s v="MTN MoMo"/>
        <s v="Orange Mone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2"/>
    <x v="0"/>
    <x v="3"/>
    <x v="0"/>
  </r>
  <r>
    <x v="1"/>
    <x v="4"/>
    <x v="0"/>
    <x v="0"/>
    <x v="1"/>
    <x v="1"/>
  </r>
  <r>
    <x v="2"/>
    <x v="4"/>
    <x v="0"/>
    <x v="1"/>
    <x v="4"/>
    <x v="0"/>
  </r>
  <r>
    <x v="3"/>
    <x v="4"/>
    <x v="2"/>
    <x v="4"/>
    <x v="9"/>
    <x v="2"/>
  </r>
  <r>
    <x v="3"/>
    <x v="0"/>
    <x v="2"/>
    <x v="1"/>
    <x v="8"/>
    <x v="1"/>
  </r>
  <r>
    <x v="4"/>
    <x v="3"/>
    <x v="0"/>
    <x v="1"/>
    <x v="2"/>
    <x v="0"/>
  </r>
  <r>
    <x v="5"/>
    <x v="0"/>
    <x v="1"/>
    <x v="0"/>
    <x v="3"/>
    <x v="2"/>
  </r>
  <r>
    <x v="6"/>
    <x v="4"/>
    <x v="2"/>
    <x v="1"/>
    <x v="4"/>
    <x v="2"/>
  </r>
  <r>
    <x v="7"/>
    <x v="4"/>
    <x v="2"/>
    <x v="1"/>
    <x v="4"/>
    <x v="2"/>
  </r>
  <r>
    <x v="8"/>
    <x v="3"/>
    <x v="1"/>
    <x v="1"/>
    <x v="2"/>
    <x v="0"/>
  </r>
  <r>
    <x v="9"/>
    <x v="4"/>
    <x v="1"/>
    <x v="4"/>
    <x v="9"/>
    <x v="2"/>
  </r>
  <r>
    <x v="10"/>
    <x v="0"/>
    <x v="0"/>
    <x v="0"/>
    <x v="3"/>
    <x v="2"/>
  </r>
  <r>
    <x v="11"/>
    <x v="2"/>
    <x v="0"/>
    <x v="1"/>
    <x v="13"/>
    <x v="0"/>
  </r>
  <r>
    <x v="12"/>
    <x v="0"/>
    <x v="1"/>
    <x v="0"/>
    <x v="3"/>
    <x v="2"/>
  </r>
  <r>
    <x v="12"/>
    <x v="3"/>
    <x v="1"/>
    <x v="2"/>
    <x v="3"/>
    <x v="1"/>
  </r>
  <r>
    <x v="13"/>
    <x v="0"/>
    <x v="1"/>
    <x v="2"/>
    <x v="10"/>
    <x v="1"/>
  </r>
  <r>
    <x v="14"/>
    <x v="3"/>
    <x v="0"/>
    <x v="3"/>
    <x v="5"/>
    <x v="0"/>
  </r>
  <r>
    <x v="15"/>
    <x v="4"/>
    <x v="0"/>
    <x v="4"/>
    <x v="9"/>
    <x v="1"/>
  </r>
  <r>
    <x v="15"/>
    <x v="4"/>
    <x v="1"/>
    <x v="5"/>
    <x v="11"/>
    <x v="2"/>
  </r>
  <r>
    <x v="16"/>
    <x v="0"/>
    <x v="0"/>
    <x v="0"/>
    <x v="3"/>
    <x v="0"/>
  </r>
  <r>
    <x v="17"/>
    <x v="3"/>
    <x v="2"/>
    <x v="0"/>
    <x v="0"/>
    <x v="2"/>
  </r>
  <r>
    <x v="18"/>
    <x v="4"/>
    <x v="2"/>
    <x v="1"/>
    <x v="4"/>
    <x v="1"/>
  </r>
  <r>
    <x v="19"/>
    <x v="3"/>
    <x v="0"/>
    <x v="2"/>
    <x v="3"/>
    <x v="2"/>
  </r>
  <r>
    <x v="20"/>
    <x v="1"/>
    <x v="1"/>
    <x v="1"/>
    <x v="12"/>
    <x v="1"/>
  </r>
  <r>
    <x v="20"/>
    <x v="4"/>
    <x v="1"/>
    <x v="2"/>
    <x v="6"/>
    <x v="2"/>
  </r>
  <r>
    <x v="21"/>
    <x v="0"/>
    <x v="2"/>
    <x v="1"/>
    <x v="8"/>
    <x v="1"/>
  </r>
  <r>
    <x v="21"/>
    <x v="3"/>
    <x v="1"/>
    <x v="1"/>
    <x v="2"/>
    <x v="2"/>
  </r>
  <r>
    <x v="22"/>
    <x v="3"/>
    <x v="2"/>
    <x v="2"/>
    <x v="3"/>
    <x v="1"/>
  </r>
  <r>
    <x v="23"/>
    <x v="3"/>
    <x v="1"/>
    <x v="1"/>
    <x v="2"/>
    <x v="0"/>
  </r>
  <r>
    <x v="24"/>
    <x v="3"/>
    <x v="1"/>
    <x v="4"/>
    <x v="7"/>
    <x v="0"/>
  </r>
  <r>
    <x v="25"/>
    <x v="1"/>
    <x v="0"/>
    <x v="1"/>
    <x v="12"/>
    <x v="2"/>
  </r>
  <r>
    <x v="26"/>
    <x v="2"/>
    <x v="2"/>
    <x v="0"/>
    <x v="9"/>
    <x v="0"/>
  </r>
  <r>
    <x v="26"/>
    <x v="1"/>
    <x v="0"/>
    <x v="1"/>
    <x v="12"/>
    <x v="2"/>
  </r>
  <r>
    <x v="27"/>
    <x v="3"/>
    <x v="1"/>
    <x v="0"/>
    <x v="0"/>
    <x v="2"/>
  </r>
  <r>
    <x v="28"/>
    <x v="3"/>
    <x v="2"/>
    <x v="2"/>
    <x v="3"/>
    <x v="1"/>
  </r>
  <r>
    <x v="29"/>
    <x v="0"/>
    <x v="1"/>
    <x v="2"/>
    <x v="1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roduit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9" firstHeaderRow="1" firstDataRow="1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</pivotFields>
  <rowFields count="1">
    <field x="1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Quantite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F3:G9" firstHeaderRow="1" firstDataRow="1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dataField="1" compact="0" showAll="0"/>
    <pivotField compact="0" showAll="0"/>
    <pivotField compact="0" showAll="0"/>
  </pivotFields>
  <rowFields count="1">
    <field x="1"/>
  </rowFields>
  <dataFields count="1">
    <dataField name="Somme - Quantité" fld="3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Vendeur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7" firstHeaderRow="1" firstDataRow="1" firstDataCol="1"/>
  <pivotFields count="6"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  <pivotField compact="0" showAll="0"/>
  </pivotFields>
  <rowFields count="1">
    <field x="2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aiement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7" firstHeaderRow="1" firstDataRow="1" firstDataCol="1"/>
  <pivotFields count="6"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3">
        <item x="0"/>
        <item x="1"/>
        <item x="2"/>
      </items>
    </pivotField>
  </pivotFields>
  <rowFields count="1">
    <field x="5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aiements nombr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3:B17" firstHeaderRow="1" firstDataRow="1" firstDataCol="1"/>
  <pivotFields count="6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</pivotFields>
  <rowFields count="1">
    <field x="5"/>
  </rowFields>
  <dataFields count="1">
    <dataField name="Compter - Date" fld="0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Crois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E10" firstHeaderRow="1" firstDataRow="2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axis="axisCol" compact="0" showAll="0" defaultSubtotal="0">
      <items count="3">
        <item x="0"/>
        <item x="1"/>
        <item x="2"/>
      </items>
    </pivotField>
  </pivotFields>
  <rowFields count="1">
    <field x="1"/>
  </rowFields>
  <colFields count="1">
    <field x="5"/>
  </col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Jour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34" firstHeaderRow="1" firstDataRow="1" firstDataCol="1"/>
  <pivotFields count="6">
    <pivotField axis="axisRow" compact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E11 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n">
        <v>46296</v>
      </c>
      <c r="B2" s="0" t="s">
        <v>6</v>
      </c>
      <c r="C2" s="0" t="s">
        <v>7</v>
      </c>
      <c r="D2" s="0" t="n">
        <v>1</v>
      </c>
      <c r="E2" s="2" t="n">
        <v>1500</v>
      </c>
      <c r="F2" s="0" t="s">
        <v>8</v>
      </c>
    </row>
    <row r="3" customFormat="false" ht="12.8" hidden="false" customHeight="false" outlineLevel="0" collapsed="false">
      <c r="A3" s="1" t="n">
        <v>46297</v>
      </c>
      <c r="B3" s="0" t="s">
        <v>9</v>
      </c>
      <c r="C3" s="0" t="s">
        <v>10</v>
      </c>
      <c r="D3" s="0" t="n">
        <v>1</v>
      </c>
      <c r="E3" s="2" t="n">
        <v>800</v>
      </c>
      <c r="F3" s="0" t="s">
        <v>11</v>
      </c>
    </row>
    <row r="4" customFormat="false" ht="12.8" hidden="false" customHeight="false" outlineLevel="0" collapsed="false">
      <c r="A4" s="1" t="n">
        <v>46298</v>
      </c>
      <c r="B4" s="0" t="s">
        <v>9</v>
      </c>
      <c r="C4" s="0" t="s">
        <v>10</v>
      </c>
      <c r="D4" s="0" t="n">
        <v>2</v>
      </c>
      <c r="E4" s="2" t="n">
        <v>1600</v>
      </c>
      <c r="F4" s="0" t="s">
        <v>8</v>
      </c>
    </row>
    <row r="5" customFormat="false" ht="12.8" hidden="false" customHeight="false" outlineLevel="0" collapsed="false">
      <c r="A5" s="1" t="n">
        <v>46299</v>
      </c>
      <c r="B5" s="0" t="s">
        <v>9</v>
      </c>
      <c r="C5" s="0" t="s">
        <v>7</v>
      </c>
      <c r="D5" s="0" t="n">
        <v>5</v>
      </c>
      <c r="E5" s="2" t="n">
        <v>4000</v>
      </c>
      <c r="F5" s="0" t="s">
        <v>12</v>
      </c>
    </row>
    <row r="6" customFormat="false" ht="12.8" hidden="false" customHeight="false" outlineLevel="0" collapsed="false">
      <c r="A6" s="1" t="n">
        <v>46299</v>
      </c>
      <c r="B6" s="0" t="s">
        <v>6</v>
      </c>
      <c r="C6" s="0" t="s">
        <v>7</v>
      </c>
      <c r="D6" s="0" t="n">
        <v>2</v>
      </c>
      <c r="E6" s="2" t="n">
        <v>3000</v>
      </c>
      <c r="F6" s="0" t="s">
        <v>11</v>
      </c>
    </row>
    <row r="7" customFormat="false" ht="12.8" hidden="false" customHeight="false" outlineLevel="0" collapsed="false">
      <c r="A7" s="1" t="n">
        <v>46300</v>
      </c>
      <c r="B7" s="0" t="s">
        <v>13</v>
      </c>
      <c r="C7" s="0" t="s">
        <v>10</v>
      </c>
      <c r="D7" s="0" t="n">
        <v>2</v>
      </c>
      <c r="E7" s="2" t="n">
        <v>1000</v>
      </c>
      <c r="F7" s="0" t="s">
        <v>8</v>
      </c>
    </row>
    <row r="8" customFormat="false" ht="12.8" hidden="false" customHeight="false" outlineLevel="0" collapsed="false">
      <c r="A8" s="1" t="n">
        <v>46301</v>
      </c>
      <c r="B8" s="0" t="s">
        <v>6</v>
      </c>
      <c r="C8" s="0" t="s">
        <v>14</v>
      </c>
      <c r="D8" s="0" t="n">
        <v>1</v>
      </c>
      <c r="E8" s="2" t="n">
        <v>1500</v>
      </c>
      <c r="F8" s="0" t="s">
        <v>12</v>
      </c>
    </row>
    <row r="9" customFormat="false" ht="12.8" hidden="false" customHeight="false" outlineLevel="0" collapsed="false">
      <c r="A9" s="1" t="n">
        <v>46302</v>
      </c>
      <c r="B9" s="0" t="s">
        <v>9</v>
      </c>
      <c r="C9" s="0" t="s">
        <v>7</v>
      </c>
      <c r="D9" s="0" t="n">
        <v>2</v>
      </c>
      <c r="E9" s="2" t="n">
        <v>1600</v>
      </c>
      <c r="F9" s="0" t="s">
        <v>12</v>
      </c>
    </row>
    <row r="10" customFormat="false" ht="12.8" hidden="false" customHeight="false" outlineLevel="0" collapsed="false">
      <c r="A10" s="1" t="n">
        <v>46303</v>
      </c>
      <c r="B10" s="0" t="s">
        <v>9</v>
      </c>
      <c r="C10" s="0" t="s">
        <v>7</v>
      </c>
      <c r="D10" s="0" t="n">
        <v>2</v>
      </c>
      <c r="E10" s="2" t="n">
        <v>1600</v>
      </c>
      <c r="F10" s="0" t="s">
        <v>12</v>
      </c>
    </row>
    <row r="11" customFormat="false" ht="12.8" hidden="false" customHeight="false" outlineLevel="0" collapsed="false">
      <c r="A11" s="1" t="n">
        <v>46304</v>
      </c>
      <c r="B11" s="0" t="s">
        <v>13</v>
      </c>
      <c r="C11" s="0" t="s">
        <v>14</v>
      </c>
      <c r="D11" s="0" t="n">
        <v>2</v>
      </c>
      <c r="E11" s="2" t="n">
        <v>1000</v>
      </c>
      <c r="F11" s="0" t="s">
        <v>8</v>
      </c>
    </row>
    <row r="12" customFormat="false" ht="12.8" hidden="false" customHeight="false" outlineLevel="0" collapsed="false">
      <c r="A12" s="1" t="n">
        <v>46305</v>
      </c>
      <c r="B12" s="0" t="s">
        <v>9</v>
      </c>
      <c r="C12" s="0" t="s">
        <v>14</v>
      </c>
      <c r="D12" s="0" t="n">
        <v>5</v>
      </c>
      <c r="E12" s="2" t="n">
        <v>4000</v>
      </c>
      <c r="F12" s="0" t="s">
        <v>12</v>
      </c>
    </row>
    <row r="13" customFormat="false" ht="12.8" hidden="false" customHeight="false" outlineLevel="0" collapsed="false">
      <c r="A13" s="1" t="n">
        <v>46306</v>
      </c>
      <c r="B13" s="0" t="s">
        <v>6</v>
      </c>
      <c r="C13" s="0" t="s">
        <v>10</v>
      </c>
      <c r="D13" s="0" t="n">
        <v>1</v>
      </c>
      <c r="E13" s="2" t="n">
        <v>1500</v>
      </c>
      <c r="F13" s="0" t="s">
        <v>12</v>
      </c>
    </row>
    <row r="14" customFormat="false" ht="12.8" hidden="false" customHeight="false" outlineLevel="0" collapsed="false">
      <c r="A14" s="1" t="n">
        <v>46307</v>
      </c>
      <c r="B14" s="0" t="s">
        <v>15</v>
      </c>
      <c r="C14" s="0" t="s">
        <v>10</v>
      </c>
      <c r="D14" s="0" t="n">
        <v>2</v>
      </c>
      <c r="E14" s="2" t="n">
        <v>8000</v>
      </c>
      <c r="F14" s="0" t="s">
        <v>8</v>
      </c>
    </row>
    <row r="15" customFormat="false" ht="12.8" hidden="false" customHeight="false" outlineLevel="0" collapsed="false">
      <c r="A15" s="1" t="n">
        <v>46308</v>
      </c>
      <c r="B15" s="0" t="s">
        <v>6</v>
      </c>
      <c r="C15" s="0" t="s">
        <v>14</v>
      </c>
      <c r="D15" s="0" t="n">
        <v>1</v>
      </c>
      <c r="E15" s="2" t="n">
        <v>1500</v>
      </c>
      <c r="F15" s="0" t="s">
        <v>12</v>
      </c>
    </row>
    <row r="16" customFormat="false" ht="12.8" hidden="false" customHeight="false" outlineLevel="0" collapsed="false">
      <c r="A16" s="1" t="n">
        <v>46308</v>
      </c>
      <c r="B16" s="0" t="s">
        <v>13</v>
      </c>
      <c r="C16" s="0" t="s">
        <v>14</v>
      </c>
      <c r="D16" s="0" t="n">
        <v>3</v>
      </c>
      <c r="E16" s="2" t="n">
        <v>1500</v>
      </c>
      <c r="F16" s="0" t="s">
        <v>11</v>
      </c>
    </row>
    <row r="17" customFormat="false" ht="12.8" hidden="false" customHeight="false" outlineLevel="0" collapsed="false">
      <c r="A17" s="1" t="n">
        <v>46309</v>
      </c>
      <c r="B17" s="0" t="s">
        <v>6</v>
      </c>
      <c r="C17" s="0" t="s">
        <v>14</v>
      </c>
      <c r="D17" s="0" t="n">
        <v>3</v>
      </c>
      <c r="E17" s="2" t="n">
        <v>4500</v>
      </c>
      <c r="F17" s="0" t="s">
        <v>11</v>
      </c>
    </row>
    <row r="18" customFormat="false" ht="12.8" hidden="false" customHeight="false" outlineLevel="0" collapsed="false">
      <c r="A18" s="1" t="n">
        <v>46310</v>
      </c>
      <c r="B18" s="0" t="s">
        <v>13</v>
      </c>
      <c r="C18" s="0" t="s">
        <v>10</v>
      </c>
      <c r="D18" s="0" t="n">
        <v>4</v>
      </c>
      <c r="E18" s="2" t="n">
        <v>2000</v>
      </c>
      <c r="F18" s="0" t="s">
        <v>8</v>
      </c>
    </row>
    <row r="19" customFormat="false" ht="12.8" hidden="false" customHeight="false" outlineLevel="0" collapsed="false">
      <c r="A19" s="1" t="n">
        <v>46311</v>
      </c>
      <c r="B19" s="0" t="s">
        <v>9</v>
      </c>
      <c r="C19" s="0" t="s">
        <v>10</v>
      </c>
      <c r="D19" s="0" t="n">
        <v>5</v>
      </c>
      <c r="E19" s="2" t="n">
        <v>4000</v>
      </c>
      <c r="F19" s="0" t="s">
        <v>11</v>
      </c>
    </row>
    <row r="20" customFormat="false" ht="12.8" hidden="false" customHeight="false" outlineLevel="0" collapsed="false">
      <c r="A20" s="1" t="n">
        <v>46311</v>
      </c>
      <c r="B20" s="0" t="s">
        <v>9</v>
      </c>
      <c r="C20" s="0" t="s">
        <v>14</v>
      </c>
      <c r="D20" s="0" t="n">
        <v>6</v>
      </c>
      <c r="E20" s="2" t="n">
        <v>4800</v>
      </c>
      <c r="F20" s="0" t="s">
        <v>12</v>
      </c>
    </row>
    <row r="21" customFormat="false" ht="12.8" hidden="false" customHeight="false" outlineLevel="0" collapsed="false">
      <c r="A21" s="1" t="n">
        <v>46312</v>
      </c>
      <c r="B21" s="0" t="s">
        <v>6</v>
      </c>
      <c r="C21" s="0" t="s">
        <v>10</v>
      </c>
      <c r="D21" s="0" t="n">
        <v>1</v>
      </c>
      <c r="E21" s="2" t="n">
        <v>1500</v>
      </c>
      <c r="F21" s="0" t="s">
        <v>8</v>
      </c>
    </row>
    <row r="22" customFormat="false" ht="12.8" hidden="false" customHeight="false" outlineLevel="0" collapsed="false">
      <c r="A22" s="1" t="n">
        <v>46313</v>
      </c>
      <c r="B22" s="0" t="s">
        <v>13</v>
      </c>
      <c r="C22" s="0" t="s">
        <v>7</v>
      </c>
      <c r="D22" s="0" t="n">
        <v>1</v>
      </c>
      <c r="E22" s="2" t="n">
        <v>500</v>
      </c>
      <c r="F22" s="0" t="s">
        <v>12</v>
      </c>
    </row>
    <row r="23" customFormat="false" ht="12.8" hidden="false" customHeight="false" outlineLevel="0" collapsed="false">
      <c r="A23" s="1" t="n">
        <v>46314</v>
      </c>
      <c r="B23" s="0" t="s">
        <v>9</v>
      </c>
      <c r="C23" s="0" t="s">
        <v>7</v>
      </c>
      <c r="D23" s="0" t="n">
        <v>2</v>
      </c>
      <c r="E23" s="2" t="n">
        <v>1600</v>
      </c>
      <c r="F23" s="0" t="s">
        <v>11</v>
      </c>
    </row>
    <row r="24" customFormat="false" ht="12.8" hidden="false" customHeight="false" outlineLevel="0" collapsed="false">
      <c r="A24" s="1" t="n">
        <v>46315</v>
      </c>
      <c r="B24" s="0" t="s">
        <v>13</v>
      </c>
      <c r="C24" s="0" t="s">
        <v>10</v>
      </c>
      <c r="D24" s="0" t="n">
        <v>3</v>
      </c>
      <c r="E24" s="2" t="n">
        <v>1500</v>
      </c>
      <c r="F24" s="0" t="s">
        <v>12</v>
      </c>
    </row>
    <row r="25" customFormat="false" ht="12.8" hidden="false" customHeight="false" outlineLevel="0" collapsed="false">
      <c r="A25" s="1" t="n">
        <v>46316</v>
      </c>
      <c r="B25" s="0" t="s">
        <v>16</v>
      </c>
      <c r="C25" s="0" t="s">
        <v>14</v>
      </c>
      <c r="D25" s="0" t="n">
        <v>2</v>
      </c>
      <c r="E25" s="2" t="n">
        <v>5000</v>
      </c>
      <c r="F25" s="0" t="s">
        <v>11</v>
      </c>
    </row>
    <row r="26" customFormat="false" ht="12.8" hidden="false" customHeight="false" outlineLevel="0" collapsed="false">
      <c r="A26" s="1" t="n">
        <v>46316</v>
      </c>
      <c r="B26" s="0" t="s">
        <v>9</v>
      </c>
      <c r="C26" s="0" t="s">
        <v>14</v>
      </c>
      <c r="D26" s="0" t="n">
        <v>3</v>
      </c>
      <c r="E26" s="2" t="n">
        <v>2400</v>
      </c>
      <c r="F26" s="0" t="s">
        <v>12</v>
      </c>
    </row>
    <row r="27" customFormat="false" ht="12.8" hidden="false" customHeight="false" outlineLevel="0" collapsed="false">
      <c r="A27" s="1" t="n">
        <v>46317</v>
      </c>
      <c r="B27" s="0" t="s">
        <v>6</v>
      </c>
      <c r="C27" s="0" t="s">
        <v>7</v>
      </c>
      <c r="D27" s="0" t="n">
        <v>2</v>
      </c>
      <c r="E27" s="2" t="n">
        <v>3000</v>
      </c>
      <c r="F27" s="0" t="s">
        <v>11</v>
      </c>
    </row>
    <row r="28" customFormat="false" ht="12.8" hidden="false" customHeight="false" outlineLevel="0" collapsed="false">
      <c r="A28" s="1" t="n">
        <v>46317</v>
      </c>
      <c r="B28" s="0" t="s">
        <v>13</v>
      </c>
      <c r="C28" s="0" t="s">
        <v>14</v>
      </c>
      <c r="D28" s="0" t="n">
        <v>2</v>
      </c>
      <c r="E28" s="2" t="n">
        <v>1000</v>
      </c>
      <c r="F28" s="0" t="s">
        <v>12</v>
      </c>
    </row>
    <row r="29" customFormat="false" ht="12.8" hidden="false" customHeight="false" outlineLevel="0" collapsed="false">
      <c r="A29" s="1" t="n">
        <v>46318</v>
      </c>
      <c r="B29" s="0" t="s">
        <v>13</v>
      </c>
      <c r="C29" s="0" t="s">
        <v>7</v>
      </c>
      <c r="D29" s="0" t="n">
        <v>3</v>
      </c>
      <c r="E29" s="2" t="n">
        <v>1500</v>
      </c>
      <c r="F29" s="0" t="s">
        <v>11</v>
      </c>
    </row>
    <row r="30" customFormat="false" ht="12.8" hidden="false" customHeight="false" outlineLevel="0" collapsed="false">
      <c r="A30" s="1" t="n">
        <v>46319</v>
      </c>
      <c r="B30" s="0" t="s">
        <v>13</v>
      </c>
      <c r="C30" s="0" t="s">
        <v>14</v>
      </c>
      <c r="D30" s="0" t="n">
        <v>2</v>
      </c>
      <c r="E30" s="2" t="n">
        <v>1000</v>
      </c>
      <c r="F30" s="0" t="s">
        <v>8</v>
      </c>
    </row>
    <row r="31" customFormat="false" ht="12.8" hidden="false" customHeight="false" outlineLevel="0" collapsed="false">
      <c r="A31" s="1" t="n">
        <v>46320</v>
      </c>
      <c r="B31" s="0" t="s">
        <v>13</v>
      </c>
      <c r="C31" s="0" t="s">
        <v>14</v>
      </c>
      <c r="D31" s="0" t="n">
        <v>5</v>
      </c>
      <c r="E31" s="2" t="n">
        <v>2500</v>
      </c>
      <c r="F31" s="0" t="s">
        <v>8</v>
      </c>
    </row>
    <row r="32" customFormat="false" ht="12.8" hidden="false" customHeight="false" outlineLevel="0" collapsed="false">
      <c r="A32" s="1" t="n">
        <v>46321</v>
      </c>
      <c r="B32" s="0" t="s">
        <v>16</v>
      </c>
      <c r="C32" s="0" t="s">
        <v>10</v>
      </c>
      <c r="D32" s="0" t="n">
        <v>2</v>
      </c>
      <c r="E32" s="2" t="n">
        <v>5000</v>
      </c>
      <c r="F32" s="0" t="s">
        <v>12</v>
      </c>
    </row>
    <row r="33" customFormat="false" ht="12.8" hidden="false" customHeight="false" outlineLevel="0" collapsed="false">
      <c r="A33" s="1" t="n">
        <v>46322</v>
      </c>
      <c r="B33" s="0" t="s">
        <v>15</v>
      </c>
      <c r="C33" s="0" t="s">
        <v>7</v>
      </c>
      <c r="D33" s="0" t="n">
        <v>1</v>
      </c>
      <c r="E33" s="2" t="n">
        <v>4000</v>
      </c>
      <c r="F33" s="0" t="s">
        <v>8</v>
      </c>
    </row>
    <row r="34" customFormat="false" ht="12.8" hidden="false" customHeight="false" outlineLevel="0" collapsed="false">
      <c r="A34" s="1" t="n">
        <v>46322</v>
      </c>
      <c r="B34" s="0" t="s">
        <v>16</v>
      </c>
      <c r="C34" s="0" t="s">
        <v>10</v>
      </c>
      <c r="D34" s="0" t="n">
        <v>2</v>
      </c>
      <c r="E34" s="2" t="n">
        <v>5000</v>
      </c>
      <c r="F34" s="0" t="s">
        <v>12</v>
      </c>
    </row>
    <row r="35" customFormat="false" ht="12.8" hidden="false" customHeight="false" outlineLevel="0" collapsed="false">
      <c r="A35" s="1" t="n">
        <v>46323</v>
      </c>
      <c r="B35" s="0" t="s">
        <v>13</v>
      </c>
      <c r="C35" s="0" t="s">
        <v>14</v>
      </c>
      <c r="D35" s="0" t="n">
        <v>1</v>
      </c>
      <c r="E35" s="2" t="n">
        <v>500</v>
      </c>
      <c r="F35" s="0" t="s">
        <v>12</v>
      </c>
    </row>
    <row r="36" customFormat="false" ht="12.8" hidden="false" customHeight="false" outlineLevel="0" collapsed="false">
      <c r="A36" s="1" t="n">
        <v>46324</v>
      </c>
      <c r="B36" s="0" t="s">
        <v>13</v>
      </c>
      <c r="C36" s="0" t="s">
        <v>7</v>
      </c>
      <c r="D36" s="0" t="n">
        <v>3</v>
      </c>
      <c r="E36" s="2" t="n">
        <v>1500</v>
      </c>
      <c r="F36" s="0" t="s">
        <v>11</v>
      </c>
    </row>
    <row r="37" customFormat="false" ht="12.8" hidden="false" customHeight="false" outlineLevel="0" collapsed="false">
      <c r="A37" s="1" t="n">
        <v>46325</v>
      </c>
      <c r="B37" s="0" t="s">
        <v>6</v>
      </c>
      <c r="C37" s="0" t="s">
        <v>14</v>
      </c>
      <c r="D37" s="0" t="n">
        <v>3</v>
      </c>
      <c r="E37" s="2" t="n">
        <v>4500</v>
      </c>
      <c r="F3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D4" activeCellId="1" sqref="E11 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20.34"/>
    <col collapsed="false" customWidth="true" hidden="false" outlineLevel="0" max="3" min="3" style="0" width="0.4"/>
    <col collapsed="false" customWidth="true" hidden="false" outlineLevel="0" max="4" min="4" style="0" width="18.19"/>
  </cols>
  <sheetData>
    <row r="1" customFormat="false" ht="12.8" hidden="false" customHeight="false" outlineLevel="0" collapsed="false">
      <c r="A1" s="3" t="s">
        <v>17</v>
      </c>
      <c r="F1" s="3" t="s">
        <v>17</v>
      </c>
    </row>
    <row r="3" customFormat="false" ht="12.8" hidden="false" customHeight="false" outlineLevel="0" collapsed="false">
      <c r="A3" s="4" t="s">
        <v>1</v>
      </c>
      <c r="B3" s="5" t="s">
        <v>18</v>
      </c>
      <c r="D3" s="0" t="s">
        <v>19</v>
      </c>
      <c r="F3" s="4" t="s">
        <v>1</v>
      </c>
      <c r="G3" s="5" t="s">
        <v>20</v>
      </c>
    </row>
    <row r="4" customFormat="false" ht="12.8" hidden="false" customHeight="false" outlineLevel="0" collapsed="false">
      <c r="A4" s="6" t="s">
        <v>6</v>
      </c>
      <c r="B4" s="7" t="n">
        <v>22500</v>
      </c>
      <c r="D4" s="2" t="n">
        <f aca="false">SUMIF(Ventes!$B$2:$B$37,A4,Ventes!$E$2:$E$37)</f>
        <v>22500</v>
      </c>
      <c r="F4" s="6" t="s">
        <v>6</v>
      </c>
      <c r="G4" s="8" t="n">
        <v>15</v>
      </c>
      <c r="I4" s="0" t="n">
        <f aca="false">SUMIF(Ventes!$B$2:$B$37,"Huile 1 L",Ventes!$D$2:$D$37)</f>
        <v>15</v>
      </c>
    </row>
    <row r="5" customFormat="false" ht="12.8" hidden="false" customHeight="false" outlineLevel="0" collapsed="false">
      <c r="A5" s="9" t="s">
        <v>16</v>
      </c>
      <c r="B5" s="10" t="n">
        <v>15000</v>
      </c>
      <c r="D5" s="2" t="n">
        <f aca="false">SUMIF(Ventes!$B$2:$B$37,A5,Ventes!$E$2:$E$37)</f>
        <v>15000</v>
      </c>
      <c r="F5" s="9" t="s">
        <v>16</v>
      </c>
      <c r="G5" s="11" t="n">
        <v>6</v>
      </c>
      <c r="I5" s="0" t="n">
        <f aca="false">SUMIF(Ventes!$B$2:$B$37,"Lait en poudre",Ventes!$D$2:$D$37)</f>
        <v>6</v>
      </c>
    </row>
    <row r="6" customFormat="false" ht="12.8" hidden="false" customHeight="false" outlineLevel="0" collapsed="false">
      <c r="A6" s="9" t="s">
        <v>15</v>
      </c>
      <c r="B6" s="10" t="n">
        <v>12000</v>
      </c>
      <c r="D6" s="2" t="n">
        <f aca="false">SUMIF(Ventes!$B$2:$B$37,A6,Ventes!$E$2:$E$37)</f>
        <v>12000</v>
      </c>
      <c r="F6" s="9" t="s">
        <v>15</v>
      </c>
      <c r="G6" s="11" t="n">
        <v>3</v>
      </c>
      <c r="I6" s="0" t="n">
        <f aca="false">SUMIF(Ventes!$B$2:$B$37,"Riz 5 kg",Ventes!$D$2:$D$37)</f>
        <v>3</v>
      </c>
    </row>
    <row r="7" customFormat="false" ht="12.8" hidden="false" customHeight="false" outlineLevel="0" collapsed="false">
      <c r="A7" s="9" t="s">
        <v>13</v>
      </c>
      <c r="B7" s="10" t="n">
        <v>15500</v>
      </c>
      <c r="D7" s="2" t="n">
        <f aca="false">SUMIF(Ventes!$B$2:$B$37,A7,Ventes!$E$2:$E$37)</f>
        <v>15500</v>
      </c>
      <c r="F7" s="9" t="s">
        <v>13</v>
      </c>
      <c r="G7" s="11" t="n">
        <v>31</v>
      </c>
      <c r="I7" s="0" t="n">
        <f aca="false">SUMIF(Ventes!$B$2:$B$37,"Savon",Ventes!$D$2:$D$37)</f>
        <v>31</v>
      </c>
    </row>
    <row r="8" customFormat="false" ht="12.8" hidden="false" customHeight="false" outlineLevel="0" collapsed="false">
      <c r="A8" s="9" t="s">
        <v>9</v>
      </c>
      <c r="B8" s="12" t="n">
        <v>26400</v>
      </c>
      <c r="D8" s="2" t="n">
        <f aca="false">SUMIF(Ventes!$B$2:$B$37,A8,Ventes!$E$2:$E$37)</f>
        <v>26400</v>
      </c>
      <c r="F8" s="9" t="s">
        <v>9</v>
      </c>
      <c r="G8" s="13" t="n">
        <v>33</v>
      </c>
      <c r="I8" s="0" t="n">
        <f aca="false">SUMIF(Ventes!$B$2:$B$37,"Sucre 1 kg",Ventes!$D$2:$D$37)</f>
        <v>33</v>
      </c>
    </row>
    <row r="9" customFormat="false" ht="12.8" hidden="false" customHeight="false" outlineLevel="0" collapsed="false">
      <c r="A9" s="14" t="s">
        <v>21</v>
      </c>
      <c r="B9" s="15" t="n">
        <v>91400</v>
      </c>
      <c r="D9" s="2" t="n">
        <f aca="false">SUM(Ventes!$E$2:$E$37)</f>
        <v>91400</v>
      </c>
      <c r="F9" s="14" t="s">
        <v>21</v>
      </c>
      <c r="G9" s="16" t="n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C4" activeCellId="1" sqref="E11 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20.34"/>
    <col collapsed="false" customWidth="true" hidden="false" outlineLevel="0" max="3" min="3" style="0" width="18.19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2</v>
      </c>
      <c r="B3" s="5" t="s">
        <v>18</v>
      </c>
      <c r="C3" s="0" t="s">
        <v>19</v>
      </c>
      <c r="E3" s="0" t="s">
        <v>22</v>
      </c>
    </row>
    <row r="4" customFormat="false" ht="12.8" hidden="false" customHeight="false" outlineLevel="0" collapsed="false">
      <c r="A4" s="6" t="s">
        <v>10</v>
      </c>
      <c r="B4" s="7" t="n">
        <v>31900</v>
      </c>
      <c r="C4" s="2" t="n">
        <f aca="false">SUMIF(Ventes!$C$2:$C$37,A4,Ventes!$E$2:$E$37)</f>
        <v>31900</v>
      </c>
      <c r="E4" s="0" t="n">
        <f aca="false">SUMIF(Ventes!$C$2:$C$37,A4,Ventes!$D$2:$D$37)</f>
        <v>25</v>
      </c>
    </row>
    <row r="5" customFormat="false" ht="12.8" hidden="false" customHeight="false" outlineLevel="0" collapsed="false">
      <c r="A5" s="9" t="s">
        <v>14</v>
      </c>
      <c r="B5" s="10" t="n">
        <v>35700</v>
      </c>
      <c r="C5" s="2" t="n">
        <f aca="false">SUMIF(Ventes!$C$2:$C$37,A5,Ventes!$E$2:$E$37)</f>
        <v>35700</v>
      </c>
      <c r="E5" s="0" t="n">
        <f aca="false">SUMIF(Ventes!$C$2:$C$37,A5,Ventes!$D$2:$D$37)</f>
        <v>39</v>
      </c>
    </row>
    <row r="6" customFormat="false" ht="12.8" hidden="false" customHeight="false" outlineLevel="0" collapsed="false">
      <c r="A6" s="9" t="s">
        <v>7</v>
      </c>
      <c r="B6" s="12" t="n">
        <v>23800</v>
      </c>
      <c r="C6" s="2" t="n">
        <f aca="false">SUMIF(Ventes!$C$2:$C$37,A6,Ventes!$E$2:$E$37)</f>
        <v>23800</v>
      </c>
      <c r="E6" s="0" t="n">
        <f aca="false">SUMIF(Ventes!$C$2:$C$37,A6,Ventes!$D$2:$D$37)</f>
        <v>24</v>
      </c>
    </row>
    <row r="7" customFormat="false" ht="12.8" hidden="false" customHeight="false" outlineLevel="0" collapsed="false">
      <c r="A7" s="14" t="s">
        <v>21</v>
      </c>
      <c r="B7" s="15" t="n">
        <v>91400</v>
      </c>
      <c r="C7" s="2" t="n">
        <f aca="false">SUM(Ventes!$E$2:$E$37)</f>
        <v>91400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C4" activeCellId="1" sqref="E11 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2"/>
    <col collapsed="false" customWidth="true" hidden="false" outlineLevel="0" max="2" min="2" style="0" width="20.34"/>
    <col collapsed="false" customWidth="true" hidden="false" outlineLevel="0" max="3" min="3" style="0" width="18.19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5</v>
      </c>
      <c r="B3" s="5" t="s">
        <v>18</v>
      </c>
      <c r="C3" s="0" t="s">
        <v>19</v>
      </c>
      <c r="E3" s="0" t="s">
        <v>22</v>
      </c>
    </row>
    <row r="4" customFormat="false" ht="12.8" hidden="false" customHeight="false" outlineLevel="0" collapsed="false">
      <c r="A4" s="6" t="s">
        <v>8</v>
      </c>
      <c r="B4" s="7" t="n">
        <v>28600</v>
      </c>
      <c r="C4" s="2" t="n">
        <f aca="false">SUMIF(Ventes!$F$2:$F$37,A4,Ventes!$E$2:$E$37)</f>
        <v>28600</v>
      </c>
      <c r="E4" s="0" t="n">
        <f aca="false">SUMIF(Ventes!$F$2:$F$37,A4,Ventes!$D$2:$D$37)</f>
        <v>25</v>
      </c>
    </row>
    <row r="5" customFormat="false" ht="12.8" hidden="false" customHeight="false" outlineLevel="0" collapsed="false">
      <c r="A5" s="9" t="s">
        <v>11</v>
      </c>
      <c r="B5" s="10" t="n">
        <v>26400</v>
      </c>
      <c r="C5" s="2" t="n">
        <f aca="false">SUMIF(Ventes!$F$2:$F$37,A5,Ventes!$E$2:$E$37)</f>
        <v>26400</v>
      </c>
      <c r="E5" s="0" t="n">
        <f aca="false">SUMIF(Ventes!$F$2:$F$37,A5,Ventes!$D$2:$D$37)</f>
        <v>26</v>
      </c>
    </row>
    <row r="6" customFormat="false" ht="12.8" hidden="false" customHeight="false" outlineLevel="0" collapsed="false">
      <c r="A6" s="9" t="s">
        <v>12</v>
      </c>
      <c r="B6" s="12" t="n">
        <v>36400</v>
      </c>
      <c r="C6" s="2" t="n">
        <f aca="false">SUMIF(Ventes!$F$2:$F$37,A6,Ventes!$E$2:$E$37)</f>
        <v>36400</v>
      </c>
      <c r="E6" s="0" t="n">
        <f aca="false">SUMIF(Ventes!$F$2:$F$37,A6,Ventes!$D$2:$D$37)</f>
        <v>37</v>
      </c>
    </row>
    <row r="7" customFormat="false" ht="12.8" hidden="false" customHeight="false" outlineLevel="0" collapsed="false">
      <c r="A7" s="14" t="s">
        <v>21</v>
      </c>
      <c r="B7" s="15" t="n">
        <v>91400</v>
      </c>
      <c r="C7" s="2" t="n">
        <f aca="false">SUM(Ventes!$E$2:$E$37)</f>
        <v>91400</v>
      </c>
    </row>
    <row r="11" customFormat="false" ht="12.8" hidden="false" customHeight="false" outlineLevel="0" collapsed="false">
      <c r="A11" s="3" t="s">
        <v>17</v>
      </c>
    </row>
    <row r="13" customFormat="false" ht="12.8" hidden="false" customHeight="false" outlineLevel="0" collapsed="false">
      <c r="A13" s="4" t="s">
        <v>5</v>
      </c>
      <c r="B13" s="5" t="s">
        <v>23</v>
      </c>
      <c r="C13" s="0" t="s">
        <v>24</v>
      </c>
    </row>
    <row r="14" customFormat="false" ht="12.8" hidden="false" customHeight="false" outlineLevel="0" collapsed="false">
      <c r="A14" s="6" t="s">
        <v>8</v>
      </c>
      <c r="B14" s="7" t="n">
        <v>11</v>
      </c>
      <c r="C14" s="0" t="n">
        <f aca="false">COUNTIF(Ventes!$F$2:$F$37,A14)</f>
        <v>11</v>
      </c>
    </row>
    <row r="15" customFormat="false" ht="12.8" hidden="false" customHeight="false" outlineLevel="0" collapsed="false">
      <c r="A15" s="9" t="s">
        <v>11</v>
      </c>
      <c r="B15" s="10" t="n">
        <v>10</v>
      </c>
      <c r="C15" s="0" t="n">
        <f aca="false">COUNTIF(Ventes!$F$2:$F$37,A15)</f>
        <v>10</v>
      </c>
    </row>
    <row r="16" customFormat="false" ht="12.8" hidden="false" customHeight="false" outlineLevel="0" collapsed="false">
      <c r="A16" s="9" t="s">
        <v>12</v>
      </c>
      <c r="B16" s="12" t="n">
        <v>15</v>
      </c>
      <c r="C16" s="0" t="n">
        <f aca="false">COUNTIF(Ventes!$F$2:$F$37,A16)</f>
        <v>15</v>
      </c>
    </row>
    <row r="17" customFormat="false" ht="12.8" hidden="false" customHeight="false" outlineLevel="0" collapsed="false">
      <c r="A17" s="14" t="s">
        <v>21</v>
      </c>
      <c r="B17" s="15" t="n">
        <v>36</v>
      </c>
      <c r="C17" s="0" t="n">
        <f aca="false">COUNT(Ventes!$E$2:$E$37)</f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34"/>
    <col collapsed="false" customWidth="true" hidden="false" outlineLevel="0" max="2" min="2" style="0" width="17.72"/>
    <col collapsed="false" customWidth="true" hidden="false" outlineLevel="0" max="3" min="3" style="0" width="11.12"/>
    <col collapsed="false" customWidth="true" hidden="false" outlineLevel="0" max="4" min="4" style="0" width="13.79"/>
    <col collapsed="false" customWidth="true" hidden="false" outlineLevel="0" max="5" min="5" style="0" width="13.71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17" t="s">
        <v>18</v>
      </c>
      <c r="B3" s="18" t="s">
        <v>5</v>
      </c>
      <c r="C3" s="19"/>
      <c r="D3" s="19"/>
      <c r="E3" s="20"/>
      <c r="I3" s="0" t="s">
        <v>25</v>
      </c>
    </row>
    <row r="4" customFormat="false" ht="12.8" hidden="false" customHeight="false" outlineLevel="0" collapsed="false">
      <c r="A4" s="21" t="s">
        <v>1</v>
      </c>
      <c r="B4" s="22" t="s">
        <v>8</v>
      </c>
      <c r="C4" s="23" t="s">
        <v>11</v>
      </c>
      <c r="D4" s="23" t="s">
        <v>12</v>
      </c>
      <c r="E4" s="24" t="s">
        <v>21</v>
      </c>
    </row>
    <row r="5" customFormat="false" ht="12.8" hidden="false" customHeight="false" outlineLevel="0" collapsed="false">
      <c r="A5" s="6" t="s">
        <v>6</v>
      </c>
      <c r="B5" s="25" t="n">
        <v>7500</v>
      </c>
      <c r="C5" s="26" t="n">
        <v>10500</v>
      </c>
      <c r="D5" s="27" t="n">
        <v>4500</v>
      </c>
      <c r="E5" s="28" t="n">
        <v>22500</v>
      </c>
      <c r="I5" s="0" t="n">
        <f aca="false">SUMIFS(Ventes!$E$2:$E$37,Ventes!$B$2:$B$37,"Huile 1 L",Ventes!$F$2:$F$37,"Espèces")</f>
        <v>7500</v>
      </c>
      <c r="J5" s="0" t="n">
        <f aca="false">SUMIFS(Ventes!$E$2:$E$37,Ventes!$B$2:$B$37,"Huile 1 L",Ventes!$F$2:$F$37,"MTN MoMo")</f>
        <v>10500</v>
      </c>
      <c r="K5" s="0" t="n">
        <f aca="false">SUMIFS(Ventes!$E$2:$E$37,Ventes!$B$2:$B$37,"Huile 1 L",Ventes!$F$2:$F$37,"Orange Money")</f>
        <v>4500</v>
      </c>
    </row>
    <row r="6" customFormat="false" ht="12.8" hidden="false" customHeight="false" outlineLevel="0" collapsed="false">
      <c r="A6" s="9" t="s">
        <v>16</v>
      </c>
      <c r="B6" s="29"/>
      <c r="C6" s="30" t="n">
        <v>5000</v>
      </c>
      <c r="D6" s="31" t="n">
        <v>10000</v>
      </c>
      <c r="E6" s="32" t="n">
        <v>15000</v>
      </c>
      <c r="I6" s="0" t="n">
        <f aca="false">SUMIFS(Ventes!$E$2:$E$37,Ventes!$B$2:$B$37,"Lait en poudre",Ventes!$F$2:$F$37,"Espèces")</f>
        <v>0</v>
      </c>
      <c r="J6" s="0" t="n">
        <f aca="false">SUMIFS(Ventes!$E$2:$E$37,Ventes!$B$2:$B$37,"Lait en poudre",Ventes!$F$2:$F$37,"MTN MoMo")</f>
        <v>5000</v>
      </c>
      <c r="K6" s="0" t="n">
        <f aca="false">SUMIFS(Ventes!$E$2:$E$37,Ventes!$B$2:$B$37,"Lait en poudre",Ventes!$F$2:$F$37,"Orange Money")</f>
        <v>10000</v>
      </c>
    </row>
    <row r="7" customFormat="false" ht="12.8" hidden="false" customHeight="false" outlineLevel="0" collapsed="false">
      <c r="A7" s="9" t="s">
        <v>15</v>
      </c>
      <c r="B7" s="29" t="n">
        <v>12000</v>
      </c>
      <c r="C7" s="30"/>
      <c r="D7" s="31"/>
      <c r="E7" s="32" t="n">
        <v>12000</v>
      </c>
      <c r="I7" s="0" t="n">
        <f aca="false">SUMIFS(Ventes!$E$2:$E$37,Ventes!$B$2:$B$37,"Riz 5 kg",Ventes!$F$2:$F$37,"Espèces")</f>
        <v>12000</v>
      </c>
      <c r="J7" s="0" t="n">
        <f aca="false">SUMIFS(Ventes!$E$2:$E$37,Ventes!$B$2:$B$37,"Riz 5 kg",Ventes!$F$2:$F$37,"MTN MoMo")</f>
        <v>0</v>
      </c>
      <c r="K7" s="0" t="n">
        <f aca="false">SUMIFS(Ventes!$E$2:$E$37,Ventes!$B$2:$B$37,"Riz 5 kg",Ventes!$F$2:$F$37,"Orange Money")</f>
        <v>0</v>
      </c>
    </row>
    <row r="8" customFormat="false" ht="12.8" hidden="false" customHeight="false" outlineLevel="0" collapsed="false">
      <c r="A8" s="9" t="s">
        <v>13</v>
      </c>
      <c r="B8" s="29" t="n">
        <v>7500</v>
      </c>
      <c r="C8" s="30" t="n">
        <v>4500</v>
      </c>
      <c r="D8" s="31" t="n">
        <v>3500</v>
      </c>
      <c r="E8" s="32" t="n">
        <v>15500</v>
      </c>
      <c r="I8" s="0" t="n">
        <f aca="false">SUMIFS(Ventes!$E$2:$E$37,Ventes!$B$2:$B$37,"Savon",Ventes!$F$2:$F$37,"Espèces")</f>
        <v>7500</v>
      </c>
      <c r="J8" s="0" t="n">
        <f aca="false">SUMIFS(Ventes!$E$2:$E$37,Ventes!$B$2:$B$37,"Savon",Ventes!$F$2:$F$37,"MTN MoMo")</f>
        <v>4500</v>
      </c>
      <c r="K8" s="0" t="n">
        <f aca="false">SUMIFS(Ventes!$E$2:$E$37,Ventes!$B$2:$B$37,"Savon",Ventes!$F$2:$F$37,"Orange Money")</f>
        <v>3500</v>
      </c>
    </row>
    <row r="9" customFormat="false" ht="12.8" hidden="false" customHeight="false" outlineLevel="0" collapsed="false">
      <c r="A9" s="9" t="s">
        <v>9</v>
      </c>
      <c r="B9" s="33" t="n">
        <v>1600</v>
      </c>
      <c r="C9" s="34" t="n">
        <v>6400</v>
      </c>
      <c r="D9" s="35" t="n">
        <v>18400</v>
      </c>
      <c r="E9" s="36" t="n">
        <v>26400</v>
      </c>
      <c r="I9" s="0" t="n">
        <f aca="false">SUMIFS(Ventes!$E$2:$E$37,Ventes!$B$2:$B$37,"Sucre 1 kg",Ventes!$F$2:$F$37,"Espèces")</f>
        <v>1600</v>
      </c>
      <c r="J9" s="0" t="n">
        <f aca="false">SUMIFS(Ventes!$E$2:$E$37,Ventes!$B$2:$B$37,"Sucre 1 kg",Ventes!$F$2:$F$37,"MTN MoMo")</f>
        <v>6400</v>
      </c>
      <c r="K9" s="0" t="n">
        <f aca="false">SUMIFS(Ventes!$E$2:$E$37,Ventes!$B$2:$B$37,"Sucre 1 kg",Ventes!$F$2:$F$37,"Orange Money")</f>
        <v>18400</v>
      </c>
    </row>
    <row r="10" customFormat="false" ht="12.8" hidden="false" customHeight="false" outlineLevel="0" collapsed="false">
      <c r="A10" s="14" t="s">
        <v>21</v>
      </c>
      <c r="B10" s="37" t="n">
        <v>28600</v>
      </c>
      <c r="C10" s="38" t="n">
        <v>26400</v>
      </c>
      <c r="D10" s="39" t="n">
        <v>36400</v>
      </c>
      <c r="E10" s="15" t="n">
        <v>91400</v>
      </c>
    </row>
    <row r="11" customFormat="false" ht="12.8" hidden="false" customHeight="false" outlineLevel="0" collapsed="false">
      <c r="A11" s="0" t="s">
        <v>26</v>
      </c>
      <c r="B11" s="2"/>
      <c r="C11" s="2"/>
      <c r="D11" s="2"/>
      <c r="E11" s="2" t="n">
        <f aca="false">SUMIF(Ventes!$B$2:$B$37,"Sucre 1 kg",Ventes!$E$2:$E$37)</f>
        <v>26400</v>
      </c>
    </row>
    <row r="12" customFormat="false" ht="12.8" hidden="false" customHeight="false" outlineLevel="0" collapsed="false">
      <c r="B12" s="2"/>
      <c r="C12" s="2"/>
      <c r="D12" s="2"/>
      <c r="E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E11 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0</v>
      </c>
      <c r="B3" s="5" t="s">
        <v>18</v>
      </c>
      <c r="D3" s="0" t="s">
        <v>19</v>
      </c>
    </row>
    <row r="4" customFormat="false" ht="12.8" hidden="false" customHeight="false" outlineLevel="0" collapsed="false">
      <c r="A4" s="40" t="n">
        <v>46296</v>
      </c>
      <c r="B4" s="7" t="n">
        <v>1500</v>
      </c>
      <c r="D4" s="0" t="n">
        <f aca="false">SUMIF(Ventes!$A$2:$A$37,A4,Ventes!$E$2:$E$37)</f>
        <v>1500</v>
      </c>
    </row>
    <row r="5" customFormat="false" ht="12.8" hidden="false" customHeight="false" outlineLevel="0" collapsed="false">
      <c r="A5" s="41" t="n">
        <v>46297</v>
      </c>
      <c r="B5" s="10" t="n">
        <v>800</v>
      </c>
      <c r="D5" s="0" t="n">
        <f aca="false">SUMIF(Ventes!$A$2:$A$37,A5,Ventes!$E$2:$E$37)</f>
        <v>800</v>
      </c>
    </row>
    <row r="6" customFormat="false" ht="12.8" hidden="false" customHeight="false" outlineLevel="0" collapsed="false">
      <c r="A6" s="41" t="n">
        <v>46298</v>
      </c>
      <c r="B6" s="10" t="n">
        <v>1600</v>
      </c>
      <c r="D6" s="0" t="n">
        <f aca="false">SUMIF(Ventes!$A$2:$A$37,A6,Ventes!$E$2:$E$37)</f>
        <v>1600</v>
      </c>
    </row>
    <row r="7" customFormat="false" ht="12.8" hidden="false" customHeight="false" outlineLevel="0" collapsed="false">
      <c r="A7" s="41" t="n">
        <v>46299</v>
      </c>
      <c r="B7" s="10" t="n">
        <v>7000</v>
      </c>
      <c r="D7" s="0" t="n">
        <f aca="false">SUMIF(Ventes!$A$2:$A$37,A7,Ventes!$E$2:$E$37)</f>
        <v>7000</v>
      </c>
    </row>
    <row r="8" customFormat="false" ht="12.8" hidden="false" customHeight="false" outlineLevel="0" collapsed="false">
      <c r="A8" s="41" t="n">
        <v>46300</v>
      </c>
      <c r="B8" s="10" t="n">
        <v>1000</v>
      </c>
      <c r="D8" s="0" t="n">
        <f aca="false">SUMIF(Ventes!$A$2:$A$37,A8,Ventes!$E$2:$E$37)</f>
        <v>1000</v>
      </c>
    </row>
    <row r="9" customFormat="false" ht="12.8" hidden="false" customHeight="false" outlineLevel="0" collapsed="false">
      <c r="A9" s="41" t="n">
        <v>46301</v>
      </c>
      <c r="B9" s="10" t="n">
        <v>1500</v>
      </c>
      <c r="D9" s="0" t="n">
        <f aca="false">SUMIF(Ventes!$A$2:$A$37,A9,Ventes!$E$2:$E$37)</f>
        <v>1500</v>
      </c>
    </row>
    <row r="10" customFormat="false" ht="12.8" hidden="false" customHeight="false" outlineLevel="0" collapsed="false">
      <c r="A10" s="41" t="n">
        <v>46302</v>
      </c>
      <c r="B10" s="10" t="n">
        <v>1600</v>
      </c>
      <c r="D10" s="0" t="n">
        <f aca="false">SUMIF(Ventes!$A$2:$A$37,A10,Ventes!$E$2:$E$37)</f>
        <v>1600</v>
      </c>
    </row>
    <row r="11" customFormat="false" ht="12.8" hidden="false" customHeight="false" outlineLevel="0" collapsed="false">
      <c r="A11" s="41" t="n">
        <v>46303</v>
      </c>
      <c r="B11" s="10" t="n">
        <v>1600</v>
      </c>
      <c r="D11" s="0" t="n">
        <f aca="false">SUMIF(Ventes!$A$2:$A$37,A11,Ventes!$E$2:$E$37)</f>
        <v>1600</v>
      </c>
    </row>
    <row r="12" customFormat="false" ht="12.8" hidden="false" customHeight="false" outlineLevel="0" collapsed="false">
      <c r="A12" s="41" t="n">
        <v>46304</v>
      </c>
      <c r="B12" s="10" t="n">
        <v>1000</v>
      </c>
      <c r="D12" s="0" t="n">
        <f aca="false">SUMIF(Ventes!$A$2:$A$37,A12,Ventes!$E$2:$E$37)</f>
        <v>1000</v>
      </c>
    </row>
    <row r="13" customFormat="false" ht="12.8" hidden="false" customHeight="false" outlineLevel="0" collapsed="false">
      <c r="A13" s="41" t="n">
        <v>46305</v>
      </c>
      <c r="B13" s="10" t="n">
        <v>4000</v>
      </c>
      <c r="D13" s="0" t="n">
        <f aca="false">SUMIF(Ventes!$A$2:$A$37,A13,Ventes!$E$2:$E$37)</f>
        <v>4000</v>
      </c>
    </row>
    <row r="14" customFormat="false" ht="12.8" hidden="false" customHeight="false" outlineLevel="0" collapsed="false">
      <c r="A14" s="41" t="n">
        <v>46306</v>
      </c>
      <c r="B14" s="10" t="n">
        <v>1500</v>
      </c>
      <c r="D14" s="0" t="n">
        <f aca="false">SUMIF(Ventes!$A$2:$A$37,A14,Ventes!$E$2:$E$37)</f>
        <v>1500</v>
      </c>
    </row>
    <row r="15" customFormat="false" ht="12.8" hidden="false" customHeight="false" outlineLevel="0" collapsed="false">
      <c r="A15" s="41" t="n">
        <v>46307</v>
      </c>
      <c r="B15" s="10" t="n">
        <v>8000</v>
      </c>
      <c r="D15" s="0" t="n">
        <f aca="false">SUMIF(Ventes!$A$2:$A$37,A15,Ventes!$E$2:$E$37)</f>
        <v>8000</v>
      </c>
    </row>
    <row r="16" customFormat="false" ht="12.8" hidden="false" customHeight="false" outlineLevel="0" collapsed="false">
      <c r="A16" s="41" t="n">
        <v>46308</v>
      </c>
      <c r="B16" s="10" t="n">
        <v>3000</v>
      </c>
      <c r="D16" s="0" t="n">
        <f aca="false">SUMIF(Ventes!$A$2:$A$37,A16,Ventes!$E$2:$E$37)</f>
        <v>3000</v>
      </c>
    </row>
    <row r="17" customFormat="false" ht="12.8" hidden="false" customHeight="false" outlineLevel="0" collapsed="false">
      <c r="A17" s="41" t="n">
        <v>46309</v>
      </c>
      <c r="B17" s="10" t="n">
        <v>4500</v>
      </c>
      <c r="D17" s="0" t="n">
        <f aca="false">SUMIF(Ventes!$A$2:$A$37,A17,Ventes!$E$2:$E$37)</f>
        <v>4500</v>
      </c>
    </row>
    <row r="18" customFormat="false" ht="12.8" hidden="false" customHeight="false" outlineLevel="0" collapsed="false">
      <c r="A18" s="41" t="n">
        <v>46310</v>
      </c>
      <c r="B18" s="10" t="n">
        <v>2000</v>
      </c>
      <c r="D18" s="0" t="n">
        <f aca="false">SUMIF(Ventes!$A$2:$A$37,A18,Ventes!$E$2:$E$37)</f>
        <v>2000</v>
      </c>
    </row>
    <row r="19" customFormat="false" ht="12.8" hidden="false" customHeight="false" outlineLevel="0" collapsed="false">
      <c r="A19" s="41" t="n">
        <v>46311</v>
      </c>
      <c r="B19" s="10" t="n">
        <v>8800</v>
      </c>
      <c r="D19" s="0" t="n">
        <f aca="false">SUMIF(Ventes!$A$2:$A$37,A19,Ventes!$E$2:$E$37)</f>
        <v>8800</v>
      </c>
    </row>
    <row r="20" customFormat="false" ht="12.8" hidden="false" customHeight="false" outlineLevel="0" collapsed="false">
      <c r="A20" s="41" t="n">
        <v>46312</v>
      </c>
      <c r="B20" s="10" t="n">
        <v>1500</v>
      </c>
      <c r="D20" s="0" t="n">
        <f aca="false">SUMIF(Ventes!$A$2:$A$37,A20,Ventes!$E$2:$E$37)</f>
        <v>1500</v>
      </c>
    </row>
    <row r="21" customFormat="false" ht="12.8" hidden="false" customHeight="false" outlineLevel="0" collapsed="false">
      <c r="A21" s="41" t="n">
        <v>46313</v>
      </c>
      <c r="B21" s="10" t="n">
        <v>500</v>
      </c>
      <c r="D21" s="0" t="n">
        <f aca="false">SUMIF(Ventes!$A$2:$A$37,A21,Ventes!$E$2:$E$37)</f>
        <v>500</v>
      </c>
    </row>
    <row r="22" customFormat="false" ht="12.8" hidden="false" customHeight="false" outlineLevel="0" collapsed="false">
      <c r="A22" s="41" t="n">
        <v>46314</v>
      </c>
      <c r="B22" s="10" t="n">
        <v>1600</v>
      </c>
      <c r="D22" s="0" t="n">
        <f aca="false">SUMIF(Ventes!$A$2:$A$37,A22,Ventes!$E$2:$E$37)</f>
        <v>1600</v>
      </c>
    </row>
    <row r="23" customFormat="false" ht="12.8" hidden="false" customHeight="false" outlineLevel="0" collapsed="false">
      <c r="A23" s="41" t="n">
        <v>46315</v>
      </c>
      <c r="B23" s="10" t="n">
        <v>1500</v>
      </c>
      <c r="D23" s="0" t="n">
        <f aca="false">SUMIF(Ventes!$A$2:$A$37,A23,Ventes!$E$2:$E$37)</f>
        <v>1500</v>
      </c>
    </row>
    <row r="24" customFormat="false" ht="12.8" hidden="false" customHeight="false" outlineLevel="0" collapsed="false">
      <c r="A24" s="41" t="n">
        <v>46316</v>
      </c>
      <c r="B24" s="10" t="n">
        <v>7400</v>
      </c>
      <c r="D24" s="0" t="n">
        <f aca="false">SUMIF(Ventes!$A$2:$A$37,A24,Ventes!$E$2:$E$37)</f>
        <v>7400</v>
      </c>
    </row>
    <row r="25" customFormat="false" ht="12.8" hidden="false" customHeight="false" outlineLevel="0" collapsed="false">
      <c r="A25" s="41" t="n">
        <v>46317</v>
      </c>
      <c r="B25" s="10" t="n">
        <v>4000</v>
      </c>
      <c r="D25" s="0" t="n">
        <f aca="false">SUMIF(Ventes!$A$2:$A$37,A25,Ventes!$E$2:$E$37)</f>
        <v>4000</v>
      </c>
    </row>
    <row r="26" customFormat="false" ht="12.8" hidden="false" customHeight="false" outlineLevel="0" collapsed="false">
      <c r="A26" s="41" t="n">
        <v>46318</v>
      </c>
      <c r="B26" s="10" t="n">
        <v>1500</v>
      </c>
      <c r="D26" s="0" t="n">
        <f aca="false">SUMIF(Ventes!$A$2:$A$37,A26,Ventes!$E$2:$E$37)</f>
        <v>1500</v>
      </c>
    </row>
    <row r="27" customFormat="false" ht="12.8" hidden="false" customHeight="false" outlineLevel="0" collapsed="false">
      <c r="A27" s="41" t="n">
        <v>46319</v>
      </c>
      <c r="B27" s="10" t="n">
        <v>1000</v>
      </c>
      <c r="D27" s="0" t="n">
        <f aca="false">SUMIF(Ventes!$A$2:$A$37,A27,Ventes!$E$2:$E$37)</f>
        <v>1000</v>
      </c>
    </row>
    <row r="28" customFormat="false" ht="12.8" hidden="false" customHeight="false" outlineLevel="0" collapsed="false">
      <c r="A28" s="41" t="n">
        <v>46320</v>
      </c>
      <c r="B28" s="10" t="n">
        <v>2500</v>
      </c>
      <c r="D28" s="0" t="n">
        <f aca="false">SUMIF(Ventes!$A$2:$A$37,A28,Ventes!$E$2:$E$37)</f>
        <v>2500</v>
      </c>
    </row>
    <row r="29" customFormat="false" ht="12.8" hidden="false" customHeight="false" outlineLevel="0" collapsed="false">
      <c r="A29" s="41" t="n">
        <v>46321</v>
      </c>
      <c r="B29" s="10" t="n">
        <v>5000</v>
      </c>
      <c r="D29" s="0" t="n">
        <f aca="false">SUMIF(Ventes!$A$2:$A$37,A29,Ventes!$E$2:$E$37)</f>
        <v>5000</v>
      </c>
    </row>
    <row r="30" customFormat="false" ht="12.8" hidden="false" customHeight="false" outlineLevel="0" collapsed="false">
      <c r="A30" s="41" t="n">
        <v>46322</v>
      </c>
      <c r="B30" s="10" t="n">
        <v>9000</v>
      </c>
      <c r="D30" s="0" t="n">
        <f aca="false">SUMIF(Ventes!$A$2:$A$37,A30,Ventes!$E$2:$E$37)</f>
        <v>9000</v>
      </c>
    </row>
    <row r="31" customFormat="false" ht="12.8" hidden="false" customHeight="false" outlineLevel="0" collapsed="false">
      <c r="A31" s="41" t="n">
        <v>46323</v>
      </c>
      <c r="B31" s="10" t="n">
        <v>500</v>
      </c>
      <c r="D31" s="0" t="n">
        <f aca="false">SUMIF(Ventes!$A$2:$A$37,A31,Ventes!$E$2:$E$37)</f>
        <v>500</v>
      </c>
    </row>
    <row r="32" customFormat="false" ht="12.8" hidden="false" customHeight="false" outlineLevel="0" collapsed="false">
      <c r="A32" s="41" t="n">
        <v>46324</v>
      </c>
      <c r="B32" s="10" t="n">
        <v>1500</v>
      </c>
      <c r="D32" s="0" t="n">
        <f aca="false">SUMIF(Ventes!$A$2:$A$37,A32,Ventes!$E$2:$E$37)</f>
        <v>1500</v>
      </c>
    </row>
    <row r="33" customFormat="false" ht="12.8" hidden="false" customHeight="false" outlineLevel="0" collapsed="false">
      <c r="A33" s="41" t="n">
        <v>46325</v>
      </c>
      <c r="B33" s="12" t="n">
        <v>4500</v>
      </c>
      <c r="D33" s="0" t="n">
        <f aca="false">SUMIF(Ventes!$A$2:$A$37,A33,Ventes!$E$2:$E$37)</f>
        <v>4500</v>
      </c>
    </row>
    <row r="34" customFormat="false" ht="12.8" hidden="false" customHeight="false" outlineLevel="0" collapsed="false">
      <c r="A34" s="42" t="s">
        <v>21</v>
      </c>
      <c r="B34" s="15" t="n">
        <v>91400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2026-10-10T12:34:22Z</dcterms:created>
  <dc:creator/>
  <dc:description/>
  <dc:language>fr-FR</dc:language>
  <cp:lastModifiedBy/>
  <dcterms:modified xsi:type="dcterms:W3CDTF">2026-10-10T12:34:44Z</dcterms:modified>
  <cp:revision>1</cp:revision>
  <dc:subject/>
  <dc:title/>
</cp:coreProperties>
</file>
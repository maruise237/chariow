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  <sheet name="Mouvements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<sst xmlns="http://schemas.openxmlformats.org/spreadsheetml/2006/main" count="41" uniqueCount="20">
  <si>
    <t xml:space="preserve">Produit</t>
  </si>
  <si>
    <t xml:space="preserve">Seuil</t>
  </si>
  <si>
    <t xml:space="preserve">Entrées</t>
  </si>
  <si>
    <t xml:space="preserve">Sorties</t>
  </si>
  <si>
    <t xml:space="preserve">Reste</t>
  </si>
  <si>
    <t xml:space="preserve">Alerte</t>
  </si>
  <si>
    <t xml:space="preserve">Savon</t>
  </si>
  <si>
    <t xml:space="preserve">Huile 1 L</t>
  </si>
  <si>
    <t xml:space="preserve">Riz 5 kg</t>
  </si>
  <si>
    <t xml:space="preserve">Sucre</t>
  </si>
  <si>
    <t xml:space="preserve">Date</t>
  </si>
  <si>
    <t xml:space="preserve">Type</t>
  </si>
  <si>
    <t xml:space="preserve">Quantité</t>
  </si>
  <si>
    <t xml:space="preserve">01/10</t>
  </si>
  <si>
    <t xml:space="preserve">Entrée</t>
  </si>
  <si>
    <t xml:space="preserve">04/10</t>
  </si>
  <si>
    <t xml:space="preserve">Sortie</t>
  </si>
  <si>
    <t xml:space="preserve">05/10</t>
  </si>
  <si>
    <t xml:space="preserve">06/10</t>
  </si>
  <si>
    <t xml:space="preserve">07/10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</si>
</sst>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7"/>
    <col collapsed="false" customWidth="true" hidden="false" outlineLevel="0" max="2" min="2" style="0" width="5.83"/>
    <col collapsed="false" customWidth="true" hidden="false" outlineLevel="0" max="3" min="3" style="0" width="8.1"/>
    <col collapsed="false" customWidth="true" hidden="false" outlineLevel="0" max="4" min="4" style="0" width="7.5"/>
    <col collapsed="false" customWidth="true" hidden="false" outlineLevel="0" max="5" min="5" style="0" width="6.58"/>
    <col collapsed="false" customWidth="true" hidden="false" outlineLevel="0" max="6" min="6" style="0" width="13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20</v>
      </c>
      <c r="C2" s="0" t="n">
        <f aca="false">SUMIFS(Mouvements!$D$2:$D$100,Mouvements!$B$2:$B$100,$A2,Mouvements!$C$2:$C$100,"Entrée")</f>
        <v>50</v>
      </c>
      <c r="D2" s="0" t="n">
        <f aca="false">SUMIFS(Mouvements!$D$2:$D$100,Mouvements!$B$2:$B$100,$A2,Mouvements!$C$2:$C$100,"Sortie")</f>
        <v>41</v>
      </c>
      <c r="E2" s="0" t="n">
        <f aca="false">C2-D2</f>
        <v>9</v>
      </c>
      <c r="F2" s="0" t="str">
        <f aca="false">IF(E2&lt;B2,"COMMANDER","")</f>
        <v>COMMANDER</v>
      </c>
    </row>
    <row r="3" customFormat="false" ht="12.8" hidden="false" customHeight="false" outlineLevel="0" collapsed="false">
      <c r="A3" s="0" t="s">
        <v>7</v>
      </c>
      <c r="B3" s="0" t="n">
        <v>10</v>
      </c>
      <c r="C3" s="0" t="n">
        <f aca="false">SUMIFS(Mouvements!$D$2:$D$100,Mouvements!$B$2:$B$100,$A3,Mouvements!$C$2:$C$100,"Entrée")</f>
        <v>24</v>
      </c>
      <c r="D3" s="0" t="n">
        <f aca="false">SUMIFS(Mouvements!$D$2:$D$100,Mouvements!$B$2:$B$100,$A3,Mouvements!$C$2:$C$100,"Sortie")</f>
        <v>8</v>
      </c>
      <c r="E3" s="0" t="n">
        <f aca="false">C3-D3</f>
        <v>16</v>
      </c>
      <c r="F3" s="0" t="str">
        <f aca="false">IF(E3&lt;B3,"COMMANDER","")</f>
        <v/>
      </c>
    </row>
    <row r="4" customFormat="false" ht="12.8" hidden="false" customHeight="false" outlineLevel="0" collapsed="false">
      <c r="A4" s="0" t="s">
        <v>8</v>
      </c>
      <c r="B4" s="0" t="n">
        <v>15</v>
      </c>
      <c r="C4" s="0" t="n">
        <f aca="false">SUMIFS(Mouvements!$D$2:$D$100,Mouvements!$B$2:$B$100,$A4,Mouvements!$C$2:$C$100,"Entrée")</f>
        <v>30</v>
      </c>
      <c r="D4" s="0" t="n">
        <f aca="false">SUMIFS(Mouvements!$D$2:$D$100,Mouvements!$B$2:$B$100,$A4,Mouvements!$C$2:$C$100,"Sortie")</f>
        <v>12</v>
      </c>
      <c r="E4" s="0" t="n">
        <f aca="false">C4-D4</f>
        <v>18</v>
      </c>
      <c r="F4" s="0" t="str">
        <f aca="false">IF(E4&lt;B4,"COMMANDER","")</f>
        <v/>
      </c>
    </row>
    <row r="5" customFormat="false" ht="12.8" hidden="false" customHeight="false" outlineLevel="0" collapsed="false">
      <c r="A5" s="0" t="s">
        <v>9</v>
      </c>
      <c r="B5" s="0" t="n">
        <v>12</v>
      </c>
      <c r="C5" s="0" t="n">
        <f aca="false">SUMIFS(Mouvements!$D$2:$D$100,Mouvements!$B$2:$B$100,$A5,Mouvements!$C$2:$C$100,"Entrée")</f>
        <v>20</v>
      </c>
      <c r="D5" s="0" t="n">
        <f aca="false">SUMIFS(Mouvements!$D$2:$D$100,Mouvements!$B$2:$B$100,$A5,Mouvements!$C$2:$C$100,"Sortie")</f>
        <v>10</v>
      </c>
      <c r="E5" s="0" t="n">
        <f aca="false">C5-D5</f>
        <v>10</v>
      </c>
      <c r="F5" s="0" t="str">
        <f aca="false">IF(E5&lt;B5,"COMMANDER","")</f>
        <v>COMMANDER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  <c r="B1" s="0" t="s">
        <v>0</v>
      </c>
      <c r="C1" s="0" t="s">
        <v>11</v>
      </c>
      <c r="D1" s="0" t="s">
        <v>12</v>
      </c>
    </row>
    <row r="2" customFormat="false" ht="12.8" hidden="false" customHeight="false" outlineLevel="0" collapsed="false">
      <c r="A2" s="1" t="s">
        <v>13</v>
      </c>
      <c r="B2" s="0" t="s">
        <v>6</v>
      </c>
      <c r="C2" s="0" t="s">
        <v>14</v>
      </c>
      <c r="D2" s="0" t="n">
        <v>50</v>
      </c>
    </row>
    <row r="3" customFormat="false" ht="12.8" hidden="false" customHeight="false" outlineLevel="0" collapsed="false">
      <c r="A3" s="1" t="s">
        <v>13</v>
      </c>
      <c r="B3" s="0" t="s">
        <v>7</v>
      </c>
      <c r="C3" s="0" t="s">
        <v>14</v>
      </c>
      <c r="D3" s="0" t="n">
        <v>24</v>
      </c>
    </row>
    <row r="4" customFormat="false" ht="12.8" hidden="false" customHeight="false" outlineLevel="0" collapsed="false">
      <c r="A4" s="1" t="s">
        <v>13</v>
      </c>
      <c r="B4" s="0" t="s">
        <v>8</v>
      </c>
      <c r="C4" s="0" t="s">
        <v>14</v>
      </c>
      <c r="D4" s="0" t="n">
        <v>30</v>
      </c>
    </row>
    <row r="5" customFormat="false" ht="12.8" hidden="false" customHeight="false" outlineLevel="0" collapsed="false">
      <c r="A5" s="1" t="s">
        <v>13</v>
      </c>
      <c r="B5" s="0" t="s">
        <v>9</v>
      </c>
      <c r="C5" s="0" t="s">
        <v>14</v>
      </c>
      <c r="D5" s="0" t="n">
        <v>20</v>
      </c>
    </row>
    <row r="6" customFormat="false" ht="12.8" hidden="false" customHeight="false" outlineLevel="0" collapsed="false">
      <c r="A6" s="1" t="s">
        <v>15</v>
      </c>
      <c r="B6" s="0" t="s">
        <v>6</v>
      </c>
      <c r="C6" s="0" t="s">
        <v>16</v>
      </c>
      <c r="D6" s="0" t="n">
        <v>35</v>
      </c>
    </row>
    <row r="7" customFormat="false" ht="12.8" hidden="false" customHeight="false" outlineLevel="0" collapsed="false">
      <c r="A7" s="1" t="s">
        <v>15</v>
      </c>
      <c r="B7" s="0" t="s">
        <v>7</v>
      </c>
      <c r="C7" s="0" t="s">
        <v>16</v>
      </c>
      <c r="D7" s="0" t="n">
        <v>8</v>
      </c>
    </row>
    <row r="8" customFormat="false" ht="12.8" hidden="false" customHeight="false" outlineLevel="0" collapsed="false">
      <c r="A8" s="1" t="s">
        <v>17</v>
      </c>
      <c r="B8" s="0" t="s">
        <v>8</v>
      </c>
      <c r="C8" s="0" t="s">
        <v>16</v>
      </c>
      <c r="D8" s="0" t="n">
        <v>12</v>
      </c>
    </row>
    <row r="9" customFormat="false" ht="12.8" hidden="false" customHeight="false" outlineLevel="0" collapsed="false">
      <c r="A9" s="1" t="s">
        <v>18</v>
      </c>
      <c r="B9" s="0" t="s">
        <v>9</v>
      </c>
      <c r="C9" s="0" t="s">
        <v>16</v>
      </c>
      <c r="D9" s="0" t="n">
        <v>10</v>
      </c>
    </row>
    <row r="10" customFormat="false" ht="12.8" hidden="false" customHeight="false" outlineLevel="0" collapsed="false">
      <c r="A10" s="1" t="s">
        <v>19</v>
      </c>
      <c r="B10" s="0" t="s">
        <v>6</v>
      </c>
      <c r="C10" s="0" t="s">
        <v>16</v>
      </c>
      <c r="D10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2026-10-10T12:32:03Z</dcterms:created>
  <dc:creator/>
  <dc:description/>
  <dc:language>fr-FR</dc:language>
  <cp:lastModifiedBy/>
  <dcterms:modified xsi:type="dcterms:W3CDTF">2026-10-10T12:32:04Z</dcterms:modified>
  <cp:revision>1</cp:revision>
  <dc:subject/>
  <dc:title/>
</cp:coreProperties>
</file>
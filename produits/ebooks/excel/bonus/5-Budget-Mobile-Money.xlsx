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" sheetId="1" state="visible" r:id="rId3"/>
    <sheet name="Opération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<sst xmlns="http://schemas.openxmlformats.org/spreadsheetml/2006/main" count="33" uniqueCount="19">
  <si>
    <t xml:space="preserve">Opérateur</t>
  </si>
  <si>
    <t xml:space="preserve">Entrées</t>
  </si>
  <si>
    <t xml:space="preserve">Sorties</t>
  </si>
  <si>
    <t xml:space="preserve">Frais</t>
  </si>
  <si>
    <t xml:space="preserve">Solde</t>
  </si>
  <si>
    <t xml:space="preserve">Orange Money</t>
  </si>
  <si>
    <t xml:space="preserve">MTN MoMo</t>
  </si>
  <si>
    <t xml:space="preserve">Date</t>
  </si>
  <si>
    <t xml:space="preserve">Type</t>
  </si>
  <si>
    <t xml:space="preserve">Montant</t>
  </si>
  <si>
    <t xml:space="preserve">01/10</t>
  </si>
  <si>
    <t xml:space="preserve">Entrée</t>
  </si>
  <si>
    <t xml:space="preserve">02/10</t>
  </si>
  <si>
    <t xml:space="preserve">Sortie</t>
  </si>
  <si>
    <t xml:space="preserve">03/10</t>
  </si>
  <si>
    <t xml:space="preserve">04/10</t>
  </si>
  <si>
    <t xml:space="preserve">05/10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</si>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</sst>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9"/>
    <col collapsed="false" customWidth="true" hidden="false" outlineLevel="0" max="2" min="2" style="0" width="8.37"/>
    <col collapsed="false" customWidth="true" hidden="false" outlineLevel="0" max="3" min="3" style="0" width="7.5"/>
    <col collapsed="false" customWidth="true" hidden="false" outlineLevel="0" max="4" min="4" style="0" width="5.83"/>
    <col collapsed="false" customWidth="true" hidden="false" outlineLevel="0" max="5" min="5" style="0" width="8.37"/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1" t="n">
        <f aca="false">SUMIFS(Opérations!$D:$D,Opérations!$B:$B,$A2,Opérations!$C:$C,"Entrée")</f>
        <v>170000</v>
      </c>
      <c r="C2" s="1" t="n">
        <f aca="false">SUMIFS(Opérations!$D:$D,Opérations!$B:$B,$A2,Opérations!$C:$C,"Sortie")</f>
        <v>35000</v>
      </c>
      <c r="D2" s="1" t="n">
        <f aca="false">SUMIF(Opérations!$B:$B,$A2,Opérations!$E:$E)</f>
        <v>400</v>
      </c>
      <c r="E2" s="1" t="n">
        <f aca="false">B2-C2-D2</f>
        <v>134600</v>
      </c>
    </row>
    <row r="3" customFormat="false" ht="12.8" hidden="false" customHeight="false" outlineLevel="0" collapsed="false">
      <c r="A3" s="0" t="s">
        <v>6</v>
      </c>
      <c r="B3" s="1" t="n">
        <f aca="false">SUMIFS(Opérations!$D:$D,Opérations!$B:$B,$A3,Opérations!$C:$C,"Entrée")</f>
        <v>80000</v>
      </c>
      <c r="C3" s="1" t="n">
        <f aca="false">SUMIFS(Opérations!$D:$D,Opérations!$B:$B,$A3,Opérations!$C:$C,"Sortie")</f>
        <v>45000</v>
      </c>
      <c r="D3" s="1" t="n">
        <f aca="false">SUMIF(Opérations!$B:$B,$A3,Opérations!$E:$E)</f>
        <v>500</v>
      </c>
      <c r="E3" s="1" t="n">
        <f aca="false">B3-C3-D3</f>
        <v>34500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6" min="6" style="0" width="5.87"/>
  </cols>
  <sheetData>
    <row r="1" customFormat="false" ht="12.8" hidden="false" customHeight="false" outlineLevel="0" collapsed="false">
      <c r="A1" s="0" t="s">
        <v>7</v>
      </c>
      <c r="B1" s="0" t="s">
        <v>0</v>
      </c>
      <c r="C1" s="0" t="s">
        <v>8</v>
      </c>
      <c r="D1" s="0" t="s">
        <v>9</v>
      </c>
      <c r="E1" s="0" t="s">
        <v>3</v>
      </c>
    </row>
    <row r="2" customFormat="false" ht="12.8" hidden="false" customHeight="false" outlineLevel="0" collapsed="false">
      <c r="A2" s="2" t="s">
        <v>10</v>
      </c>
      <c r="B2" s="0" t="s">
        <v>5</v>
      </c>
      <c r="C2" s="0" t="s">
        <v>11</v>
      </c>
      <c r="D2" s="0" t="n">
        <v>150000</v>
      </c>
      <c r="E2" s="0" t="n">
        <v>0</v>
      </c>
    </row>
    <row r="3" customFormat="false" ht="12.8" hidden="false" customHeight="false" outlineLevel="0" collapsed="false">
      <c r="A3" s="2" t="s">
        <v>12</v>
      </c>
      <c r="B3" s="0" t="s">
        <v>5</v>
      </c>
      <c r="C3" s="0" t="s">
        <v>13</v>
      </c>
      <c r="D3" s="0" t="n">
        <v>25000</v>
      </c>
      <c r="E3" s="0" t="n">
        <v>250</v>
      </c>
    </row>
    <row r="4" customFormat="false" ht="12.8" hidden="false" customHeight="false" outlineLevel="0" collapsed="false">
      <c r="A4" s="2" t="s">
        <v>14</v>
      </c>
      <c r="B4" s="0" t="s">
        <v>6</v>
      </c>
      <c r="C4" s="0" t="s">
        <v>11</v>
      </c>
      <c r="D4" s="0" t="n">
        <v>80000</v>
      </c>
      <c r="E4" s="0" t="n">
        <v>0</v>
      </c>
    </row>
    <row r="5" customFormat="false" ht="12.8" hidden="false" customHeight="false" outlineLevel="0" collapsed="false">
      <c r="A5" s="2" t="s">
        <v>15</v>
      </c>
      <c r="B5" s="0" t="s">
        <v>6</v>
      </c>
      <c r="C5" s="0" t="s">
        <v>13</v>
      </c>
      <c r="D5" s="0" t="n">
        <v>30000</v>
      </c>
      <c r="E5" s="0" t="n">
        <v>300</v>
      </c>
    </row>
    <row r="6" customFormat="false" ht="12.8" hidden="false" customHeight="false" outlineLevel="0" collapsed="false">
      <c r="A6" s="2" t="s">
        <v>16</v>
      </c>
      <c r="B6" s="0" t="s">
        <v>5</v>
      </c>
      <c r="C6" s="0" t="s">
        <v>13</v>
      </c>
      <c r="D6" s="0" t="n">
        <v>10000</v>
      </c>
      <c r="E6" s="0" t="n">
        <v>150</v>
      </c>
    </row>
    <row r="7" customFormat="false" ht="12.8" hidden="false" customHeight="false" outlineLevel="0" collapsed="false">
      <c r="A7" s="2" t="s">
        <v>17</v>
      </c>
      <c r="B7" s="0" t="s">
        <v>6</v>
      </c>
      <c r="C7" s="0" t="s">
        <v>13</v>
      </c>
      <c r="D7" s="0" t="n">
        <v>15000</v>
      </c>
      <c r="E7" s="0" t="n">
        <v>200</v>
      </c>
    </row>
    <row r="8" customFormat="false" ht="12.8" hidden="false" customHeight="false" outlineLevel="0" collapsed="false">
      <c r="A8" s="2" t="s">
        <v>18</v>
      </c>
      <c r="B8" s="0" t="s">
        <v>5</v>
      </c>
      <c r="C8" s="0" t="s">
        <v>11</v>
      </c>
      <c r="D8" s="0" t="n">
        <v>20000</v>
      </c>
      <c r="E8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2026-10-10T12:31:27Z</dcterms:created>
  <dc:creator/>
  <dc:description/>
  <dc:language>fr-FR</dc:language>
  <cp:lastModifiedBy/>
  <dcterms:modified xsi:type="dcterms:W3CDTF">2026-10-10T12:31:27Z</dcterms:modified>
  <cp:revision>1</cp:revision>
  <dc:subject/>
  <dc:title/>
</cp:coreProperties>
</file>